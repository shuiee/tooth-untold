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wang\Downloads\"/>
    </mc:Choice>
  </mc:AlternateContent>
  <bookViews>
    <workbookView xWindow="0" yWindow="0" windowWidth="23016" windowHeight="859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21" i="1" l="1"/>
  <c r="H25" i="1"/>
  <c r="H2" i="1"/>
  <c r="H57" i="1"/>
  <c r="H77" i="1"/>
  <c r="H101" i="1"/>
  <c r="H28" i="1"/>
  <c r="H29" i="1"/>
  <c r="H30" i="1"/>
  <c r="H58" i="1"/>
  <c r="H87" i="1"/>
  <c r="H3" i="1"/>
  <c r="H53" i="1"/>
  <c r="H4" i="1"/>
  <c r="H83" i="1"/>
  <c r="H59" i="1"/>
  <c r="H14" i="1"/>
  <c r="H5" i="1"/>
  <c r="H60" i="1"/>
  <c r="H61" i="1"/>
  <c r="H62" i="1"/>
  <c r="H88" i="1"/>
  <c r="H54" i="1"/>
  <c r="H31" i="1"/>
  <c r="H99" i="1"/>
  <c r="H63" i="1"/>
  <c r="H64" i="1"/>
  <c r="H32" i="1"/>
  <c r="H33" i="1"/>
  <c r="H23" i="1"/>
  <c r="H17" i="1"/>
  <c r="H86" i="1"/>
  <c r="H34" i="1"/>
  <c r="H35" i="1"/>
  <c r="H15" i="1"/>
  <c r="H65" i="1"/>
  <c r="H36" i="1"/>
  <c r="H37" i="1"/>
  <c r="H6" i="1"/>
  <c r="H66" i="1"/>
  <c r="H67" i="1"/>
  <c r="H102" i="1"/>
  <c r="H76" i="1"/>
  <c r="H89" i="1"/>
  <c r="H38" i="1"/>
  <c r="H97" i="1"/>
  <c r="H39" i="1"/>
  <c r="H98" i="1"/>
  <c r="H78" i="1"/>
  <c r="H90" i="1"/>
  <c r="H40" i="1"/>
  <c r="H41" i="1"/>
  <c r="H91" i="1"/>
  <c r="H79" i="1"/>
  <c r="H103" i="1"/>
  <c r="H85" i="1"/>
  <c r="H92" i="1"/>
  <c r="H93" i="1"/>
  <c r="H18" i="1"/>
  <c r="H7" i="1"/>
  <c r="H8" i="1"/>
  <c r="H68" i="1"/>
  <c r="H55" i="1"/>
  <c r="H69" i="1"/>
  <c r="H56" i="1"/>
  <c r="H75" i="1"/>
  <c r="H42" i="1"/>
  <c r="H43" i="1"/>
  <c r="H94" i="1"/>
  <c r="H44" i="1"/>
  <c r="H70" i="1"/>
  <c r="H26" i="1"/>
  <c r="H45" i="1"/>
  <c r="H71" i="1"/>
  <c r="H46" i="1"/>
  <c r="H9" i="1"/>
  <c r="H24" i="1"/>
  <c r="H47" i="1"/>
  <c r="H10" i="1"/>
  <c r="H80" i="1"/>
  <c r="H48" i="1"/>
  <c r="H104" i="1"/>
  <c r="H72" i="1"/>
  <c r="H11" i="1"/>
  <c r="H95" i="1"/>
  <c r="H49" i="1"/>
  <c r="H12" i="1"/>
  <c r="H81" i="1"/>
  <c r="H73" i="1"/>
  <c r="H82" i="1"/>
  <c r="H27" i="1"/>
  <c r="H13" i="1"/>
  <c r="H16" i="1"/>
  <c r="H96" i="1"/>
  <c r="H74" i="1"/>
  <c r="H84" i="1"/>
  <c r="H19" i="1"/>
  <c r="H50" i="1"/>
  <c r="H51" i="1"/>
  <c r="H20" i="1"/>
  <c r="H22" i="1"/>
  <c r="H52" i="1"/>
  <c r="H100" i="1"/>
</calcChain>
</file>

<file path=xl/sharedStrings.xml><?xml version="1.0" encoding="utf-8"?>
<sst xmlns="http://schemas.openxmlformats.org/spreadsheetml/2006/main" count="1047" uniqueCount="186">
  <si>
    <t>obs</t>
  </si>
  <si>
    <t>SITE</t>
  </si>
  <si>
    <t>SITENAME</t>
  </si>
  <si>
    <t>Saint Sauver</t>
  </si>
  <si>
    <t>Kiskundorozsma Daruhalom</t>
  </si>
  <si>
    <t>Kastella</t>
  </si>
  <si>
    <t>Bobald-Carei</t>
  </si>
  <si>
    <t>Valkenberg-Breda</t>
  </si>
  <si>
    <t>Wandignies-Hamage</t>
  </si>
  <si>
    <t>Subaciaus</t>
  </si>
  <si>
    <t>Pranciskonu</t>
  </si>
  <si>
    <t>Pranciskonu sventorius</t>
  </si>
  <si>
    <t>Bernardinai</t>
  </si>
  <si>
    <t>Katedra</t>
  </si>
  <si>
    <t>Mindaugo</t>
  </si>
  <si>
    <t>Latako</t>
  </si>
  <si>
    <t>Siaures miestelis</t>
  </si>
  <si>
    <t>Trentholme Drive, York</t>
  </si>
  <si>
    <t>Kriveiskiskis</t>
  </si>
  <si>
    <t>Panevezys</t>
  </si>
  <si>
    <t>Pottenbrun</t>
  </si>
  <si>
    <t>Leipalingis</t>
  </si>
  <si>
    <t>Rukliai</t>
  </si>
  <si>
    <t>Gruczno</t>
  </si>
  <si>
    <t>Poznan-Srodka</t>
  </si>
  <si>
    <t>Wodna</t>
  </si>
  <si>
    <t>Garbary</t>
  </si>
  <si>
    <t>Butt Road, Colchester</t>
  </si>
  <si>
    <t>Mintoritenweg</t>
  </si>
  <si>
    <t>Kaldus</t>
  </si>
  <si>
    <t>Giecz</t>
  </si>
  <si>
    <t>Slava Rusa</t>
  </si>
  <si>
    <t>Schleswig</t>
  </si>
  <si>
    <t>Haudricourt</t>
  </si>
  <si>
    <t>St. Ame</t>
  </si>
  <si>
    <t>Sourtara</t>
  </si>
  <si>
    <t>Messene</t>
  </si>
  <si>
    <t>Les Rues des Vignes</t>
  </si>
  <si>
    <t>Sigtuna</t>
  </si>
  <si>
    <t>Mangalia</t>
  </si>
  <si>
    <t>Aguonu</t>
  </si>
  <si>
    <t>Etting</t>
  </si>
  <si>
    <t>Unterigling</t>
  </si>
  <si>
    <t>Gars Thunau</t>
  </si>
  <si>
    <t>Kwidzyn</t>
  </si>
  <si>
    <t>Lauchheim</t>
  </si>
  <si>
    <t>BlackGate</t>
  </si>
  <si>
    <t>Istria</t>
  </si>
  <si>
    <t>Franciscan Friary</t>
  </si>
  <si>
    <t>Basel (Barfusserkirche?)</t>
  </si>
  <si>
    <t>Buren Oberburen</t>
  </si>
  <si>
    <t>Santa Clara-a-Velha</t>
  </si>
  <si>
    <t>Koningsveld</t>
  </si>
  <si>
    <t>Homokmegy-Szekes</t>
  </si>
  <si>
    <t>Szoreg-Teglagyar</t>
  </si>
  <si>
    <t>Plinkaigalis</t>
  </si>
  <si>
    <t>Wenigumstadt</t>
  </si>
  <si>
    <t>Constancia</t>
  </si>
  <si>
    <t>Blackfriars</t>
  </si>
  <si>
    <t>Pasydy</t>
  </si>
  <si>
    <t>Kiev-Patorzhinskogo</t>
  </si>
  <si>
    <t>Saint Laurent Blangy</t>
  </si>
  <si>
    <t>Silveirona</t>
  </si>
  <si>
    <t>Towton</t>
  </si>
  <si>
    <t>Nagylak Hatarsav</t>
  </si>
  <si>
    <t>Boksto</t>
  </si>
  <si>
    <t>Sao Joao de Almedina</t>
  </si>
  <si>
    <t>Zwolfaxing</t>
  </si>
  <si>
    <t>Klaipeda</t>
  </si>
  <si>
    <t>Cacela Velha</t>
  </si>
  <si>
    <t>Doma Laukums</t>
  </si>
  <si>
    <t>Spata</t>
  </si>
  <si>
    <t>Thebes</t>
  </si>
  <si>
    <t>Xironomi</t>
  </si>
  <si>
    <t>Quinta do Lago</t>
  </si>
  <si>
    <t>Grossmehring</t>
  </si>
  <si>
    <t>Volders</t>
  </si>
  <si>
    <t>Apple Down</t>
  </si>
  <si>
    <t>York, Fishergate House</t>
  </si>
  <si>
    <t>St. Martins</t>
  </si>
  <si>
    <t>St. Peters</t>
  </si>
  <si>
    <t>Convent Agustins</t>
  </si>
  <si>
    <t>Bowling Green</t>
  </si>
  <si>
    <t>Kaminonki Duze</t>
  </si>
  <si>
    <t>Plonkowo</t>
  </si>
  <si>
    <t>Dubingiu piliaviete</t>
  </si>
  <si>
    <t>Wolverhampton</t>
  </si>
  <si>
    <t>Kernave</t>
  </si>
  <si>
    <t>Selpils</t>
  </si>
  <si>
    <t>All Saints, Fishergate</t>
  </si>
  <si>
    <t>Convento do Carmo</t>
  </si>
  <si>
    <t>Kiev-Shchekavitsa</t>
  </si>
  <si>
    <t>Convento dos Remedios</t>
  </si>
  <si>
    <t>Bern-Bundesgasse</t>
  </si>
  <si>
    <t>Rua Primeiro de Dezembro</t>
  </si>
  <si>
    <t>Bern-Sidlerstrasse</t>
  </si>
  <si>
    <t>Convento de Sao Franc.</t>
  </si>
  <si>
    <t>Alytus</t>
  </si>
  <si>
    <t>Altdorf</t>
  </si>
  <si>
    <t>Bachlechnerplatz</t>
  </si>
  <si>
    <t>Pien</t>
  </si>
  <si>
    <t>Roquetes</t>
  </si>
  <si>
    <t>Amiens Ilot des Boucheries</t>
  </si>
  <si>
    <t>Basel-Barfusserkirche</t>
  </si>
  <si>
    <t>Stajky</t>
  </si>
  <si>
    <t>Graberfeld Stalden</t>
  </si>
  <si>
    <t>co</t>
  </si>
  <si>
    <t>fr</t>
  </si>
  <si>
    <t>hu</t>
  </si>
  <si>
    <t>gr</t>
  </si>
  <si>
    <t>ro</t>
  </si>
  <si>
    <t>nl</t>
  </si>
  <si>
    <t>lt</t>
  </si>
  <si>
    <t>gb</t>
  </si>
  <si>
    <t>at</t>
  </si>
  <si>
    <t>pl</t>
  </si>
  <si>
    <t>de</t>
  </si>
  <si>
    <t>se</t>
  </si>
  <si>
    <t>ch</t>
  </si>
  <si>
    <t>pt</t>
  </si>
  <si>
    <t>cy</t>
  </si>
  <si>
    <t>ua</t>
  </si>
  <si>
    <t>lv</t>
  </si>
  <si>
    <t>es</t>
  </si>
  <si>
    <t>Country</t>
  </si>
  <si>
    <t>France</t>
  </si>
  <si>
    <t>Hungary</t>
  </si>
  <si>
    <t>Greece</t>
  </si>
  <si>
    <t>Romania</t>
  </si>
  <si>
    <t>Netherlands</t>
  </si>
  <si>
    <t>Lithuania</t>
  </si>
  <si>
    <t>UK</t>
  </si>
  <si>
    <t>Austria</t>
  </si>
  <si>
    <t>Poland</t>
  </si>
  <si>
    <t>Germany</t>
  </si>
  <si>
    <t>Sweden</t>
  </si>
  <si>
    <t>Switzerland</t>
  </si>
  <si>
    <t>Portugal</t>
  </si>
  <si>
    <t>Cyprus</t>
  </si>
  <si>
    <t>Ukraine</t>
  </si>
  <si>
    <t>Latvia</t>
  </si>
  <si>
    <t>Spain</t>
  </si>
  <si>
    <t>EARLYYEAR</t>
  </si>
  <si>
    <t>LATEYEAR</t>
  </si>
  <si>
    <t>TIME</t>
  </si>
  <si>
    <t>Early medieval</t>
  </si>
  <si>
    <t>Early modern</t>
  </si>
  <si>
    <t>Late medieval</t>
  </si>
  <si>
    <t>Pre-medieval</t>
  </si>
  <si>
    <t>High medieval</t>
  </si>
  <si>
    <t>Industrial</t>
  </si>
  <si>
    <t>RECODE_SES</t>
  </si>
  <si>
    <t>Craft or artisan workers</t>
  </si>
  <si>
    <t>Farming community</t>
  </si>
  <si>
    <t>Religious order</t>
  </si>
  <si>
    <t>Other</t>
  </si>
  <si>
    <t>Military</t>
  </si>
  <si>
    <t>Hospital population</t>
  </si>
  <si>
    <t>SETT</t>
  </si>
  <si>
    <t>Village</t>
  </si>
  <si>
    <t>Town</t>
  </si>
  <si>
    <t>Rural</t>
  </si>
  <si>
    <t>Major city</t>
  </si>
  <si>
    <t>Small city</t>
  </si>
  <si>
    <t>Mega city</t>
  </si>
  <si>
    <t>URBAN2</t>
  </si>
  <si>
    <t>Urban, small</t>
  </si>
  <si>
    <t>Urban, large</t>
  </si>
  <si>
    <t>TOPO</t>
  </si>
  <si>
    <t>Valley of major river</t>
  </si>
  <si>
    <t>Major river flood plain</t>
  </si>
  <si>
    <t>Coastal</t>
  </si>
  <si>
    <t>Rolling (low) hills</t>
  </si>
  <si>
    <t>Plains</t>
  </si>
  <si>
    <t>ELEV</t>
  </si>
  <si>
    <t>100-300 m</t>
  </si>
  <si>
    <t>Sea level-100 meters</t>
  </si>
  <si>
    <t>300-1000 m</t>
  </si>
  <si>
    <t>REGION</t>
  </si>
  <si>
    <t>Northwestern Europe</t>
  </si>
  <si>
    <t>Central and Southeastern Europe</t>
  </si>
  <si>
    <t>Mediterranean</t>
  </si>
  <si>
    <t>Northeastern Europe</t>
  </si>
  <si>
    <t>LAT</t>
  </si>
  <si>
    <t>LONG</t>
  </si>
  <si>
    <t>datespan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</si>
</sst>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tabSelected="1" workbookViewId="0">
      <selection activeCell="K7" sqref="K7"/>
    </sheetView>
  </sheetViews>
  <sheetFormatPr defaultRowHeight="14.4"/>
  <cols>
    <col min="3" max="3" width="9.77734375" customWidth="1"/>
    <col min="7" max="8" width="10.33203125" customWidth="1"/>
  </cols>
  <sheetData>
    <row r="1" spans="1:17">
      <c r="A1" t="s">
        <v>0</v>
      </c>
      <c r="B1" t="s">
        <v>1</v>
      </c>
      <c r="C1" t="s">
        <v>2</v>
      </c>
      <c r="D1" t="s">
        <v>106</v>
      </c>
      <c r="E1" t="s">
        <v>124</v>
      </c>
      <c r="F1" t="s">
        <v>142</v>
      </c>
      <c r="G1" t="s">
        <v>143</v>
      </c>
      <c r="H1" t="s">
        <v>185</v>
      </c>
      <c r="I1" t="s">
        <v>144</v>
      </c>
      <c r="J1" t="s">
        <v>151</v>
      </c>
      <c r="K1" t="s">
        <v>158</v>
      </c>
      <c r="L1" t="s">
        <v>165</v>
      </c>
      <c r="M1" t="s">
        <v>168</v>
      </c>
      <c r="N1" t="s">
        <v>174</v>
      </c>
      <c r="O1" t="s">
        <v>178</v>
      </c>
      <c r="P1" t="s">
        <v>183</v>
      </c>
      <c r="Q1" t="s">
        <v>184</v>
      </c>
    </row>
    <row r="2" spans="1:17">
      <c r="A2">
        <v>32</v>
      </c>
      <c r="B2">
        <v>715</v>
      </c>
      <c r="C2" t="s">
        <v>5</v>
      </c>
      <c r="D2" t="s">
        <v>109</v>
      </c>
      <c r="E2" t="s">
        <v>127</v>
      </c>
      <c r="F2">
        <v>1000</v>
      </c>
      <c r="G2">
        <v>1000</v>
      </c>
      <c r="H2">
        <f t="shared" ref="H2:H33" si="0">G2-F2</f>
        <v>0</v>
      </c>
      <c r="I2" t="s">
        <v>145</v>
      </c>
      <c r="J2" t="s">
        <v>152</v>
      </c>
      <c r="K2" t="s">
        <v>160</v>
      </c>
      <c r="L2" t="s">
        <v>166</v>
      </c>
      <c r="M2" t="s">
        <v>171</v>
      </c>
      <c r="N2" t="s">
        <v>176</v>
      </c>
      <c r="O2" t="s">
        <v>181</v>
      </c>
      <c r="P2">
        <v>35.342500000000001</v>
      </c>
      <c r="Q2">
        <v>25.132221999999999</v>
      </c>
    </row>
    <row r="3" spans="1:17">
      <c r="A3">
        <v>43</v>
      </c>
      <c r="B3">
        <v>148</v>
      </c>
      <c r="C3" t="s">
        <v>14</v>
      </c>
      <c r="D3" t="s">
        <v>112</v>
      </c>
      <c r="E3" t="s">
        <v>130</v>
      </c>
      <c r="F3">
        <v>1780</v>
      </c>
      <c r="G3">
        <v>1780</v>
      </c>
      <c r="H3">
        <f t="shared" si="0"/>
        <v>0</v>
      </c>
      <c r="I3" t="s">
        <v>146</v>
      </c>
      <c r="J3" t="s">
        <v>156</v>
      </c>
      <c r="K3" t="s">
        <v>162</v>
      </c>
      <c r="L3" t="s">
        <v>167</v>
      </c>
      <c r="M3" t="s">
        <v>172</v>
      </c>
      <c r="N3" t="s">
        <v>175</v>
      </c>
      <c r="O3" t="s">
        <v>182</v>
      </c>
      <c r="P3">
        <v>54.678249999999998</v>
      </c>
      <c r="Q3">
        <v>25.27421</v>
      </c>
    </row>
    <row r="4" spans="1:17">
      <c r="A4">
        <v>525</v>
      </c>
      <c r="B4">
        <v>295</v>
      </c>
      <c r="C4" t="s">
        <v>16</v>
      </c>
      <c r="D4" t="s">
        <v>112</v>
      </c>
      <c r="E4" t="s">
        <v>130</v>
      </c>
      <c r="F4">
        <v>1812</v>
      </c>
      <c r="G4">
        <v>1812</v>
      </c>
      <c r="H4">
        <f t="shared" si="0"/>
        <v>0</v>
      </c>
      <c r="I4" t="s">
        <v>146</v>
      </c>
      <c r="J4" t="s">
        <v>156</v>
      </c>
      <c r="K4" t="s">
        <v>162</v>
      </c>
      <c r="L4" t="s">
        <v>167</v>
      </c>
      <c r="M4" t="s">
        <v>170</v>
      </c>
      <c r="N4" t="s">
        <v>175</v>
      </c>
      <c r="O4" t="s">
        <v>182</v>
      </c>
      <c r="P4">
        <v>54.707222000000002</v>
      </c>
      <c r="Q4">
        <v>25.299721999999999</v>
      </c>
    </row>
    <row r="5" spans="1:17">
      <c r="A5">
        <v>191</v>
      </c>
      <c r="B5">
        <v>435</v>
      </c>
      <c r="C5" t="s">
        <v>20</v>
      </c>
      <c r="D5" t="s">
        <v>114</v>
      </c>
      <c r="E5" t="s">
        <v>132</v>
      </c>
      <c r="F5">
        <v>850</v>
      </c>
      <c r="G5">
        <v>850</v>
      </c>
      <c r="H5">
        <f t="shared" si="0"/>
        <v>0</v>
      </c>
      <c r="I5" t="s">
        <v>145</v>
      </c>
      <c r="J5" t="s">
        <v>153</v>
      </c>
      <c r="K5" t="s">
        <v>161</v>
      </c>
      <c r="L5" t="s">
        <v>161</v>
      </c>
      <c r="M5" t="s">
        <v>173</v>
      </c>
      <c r="N5" t="s">
        <v>175</v>
      </c>
      <c r="O5" t="s">
        <v>180</v>
      </c>
      <c r="P5">
        <v>48.233330000000002</v>
      </c>
      <c r="Q5">
        <v>15.68333</v>
      </c>
    </row>
    <row r="6" spans="1:17">
      <c r="A6">
        <v>35</v>
      </c>
      <c r="B6">
        <v>771</v>
      </c>
      <c r="C6" t="s">
        <v>41</v>
      </c>
      <c r="D6" t="s">
        <v>116</v>
      </c>
      <c r="E6" t="s">
        <v>134</v>
      </c>
      <c r="F6">
        <v>700</v>
      </c>
      <c r="G6">
        <v>700</v>
      </c>
      <c r="H6">
        <f t="shared" si="0"/>
        <v>0</v>
      </c>
      <c r="I6" t="s">
        <v>145</v>
      </c>
      <c r="J6" t="s">
        <v>153</v>
      </c>
      <c r="K6" t="s">
        <v>161</v>
      </c>
      <c r="L6" t="s">
        <v>161</v>
      </c>
      <c r="M6" t="s">
        <v>173</v>
      </c>
      <c r="N6" t="s">
        <v>177</v>
      </c>
      <c r="O6" t="s">
        <v>180</v>
      </c>
      <c r="P6">
        <v>48.8</v>
      </c>
      <c r="Q6">
        <v>11.4</v>
      </c>
    </row>
    <row r="7" spans="1:17">
      <c r="A7">
        <v>30</v>
      </c>
      <c r="B7">
        <v>939</v>
      </c>
      <c r="C7" t="s">
        <v>62</v>
      </c>
      <c r="D7" t="s">
        <v>119</v>
      </c>
      <c r="E7" t="s">
        <v>137</v>
      </c>
      <c r="F7">
        <v>500</v>
      </c>
      <c r="G7">
        <v>500</v>
      </c>
      <c r="H7">
        <f t="shared" si="0"/>
        <v>0</v>
      </c>
      <c r="I7" t="s">
        <v>148</v>
      </c>
      <c r="J7" t="s">
        <v>153</v>
      </c>
      <c r="K7" t="s">
        <v>161</v>
      </c>
      <c r="L7" t="s">
        <v>161</v>
      </c>
      <c r="M7" t="s">
        <v>173</v>
      </c>
      <c r="N7" t="s">
        <v>175</v>
      </c>
      <c r="O7" t="s">
        <v>181</v>
      </c>
      <c r="P7">
        <v>38.885483000000001</v>
      </c>
      <c r="Q7">
        <v>-7.6092029999999999</v>
      </c>
    </row>
    <row r="8" spans="1:17">
      <c r="A8">
        <v>32</v>
      </c>
      <c r="B8">
        <v>876</v>
      </c>
      <c r="C8" t="s">
        <v>63</v>
      </c>
      <c r="D8" t="s">
        <v>113</v>
      </c>
      <c r="E8" t="s">
        <v>131</v>
      </c>
      <c r="F8">
        <v>1461</v>
      </c>
      <c r="G8">
        <v>1461</v>
      </c>
      <c r="H8">
        <f t="shared" si="0"/>
        <v>0</v>
      </c>
      <c r="I8" t="s">
        <v>147</v>
      </c>
      <c r="J8" t="s">
        <v>156</v>
      </c>
      <c r="K8" t="s">
        <v>161</v>
      </c>
      <c r="L8" t="s">
        <v>161</v>
      </c>
      <c r="M8" t="s">
        <v>173</v>
      </c>
      <c r="N8" t="s">
        <v>176</v>
      </c>
      <c r="O8" t="s">
        <v>179</v>
      </c>
      <c r="P8">
        <v>53.848599</v>
      </c>
      <c r="Q8">
        <v>-1.2673129999999999</v>
      </c>
    </row>
    <row r="9" spans="1:17">
      <c r="A9">
        <v>71</v>
      </c>
      <c r="B9">
        <v>897</v>
      </c>
      <c r="C9" t="s">
        <v>78</v>
      </c>
      <c r="D9" t="s">
        <v>113</v>
      </c>
      <c r="E9" t="s">
        <v>131</v>
      </c>
      <c r="F9">
        <v>1644</v>
      </c>
      <c r="G9">
        <v>1644</v>
      </c>
      <c r="H9">
        <f t="shared" si="0"/>
        <v>0</v>
      </c>
      <c r="I9" t="s">
        <v>147</v>
      </c>
      <c r="J9" t="s">
        <v>152</v>
      </c>
      <c r="K9" t="s">
        <v>160</v>
      </c>
      <c r="L9" t="s">
        <v>166</v>
      </c>
      <c r="M9" t="s">
        <v>169</v>
      </c>
      <c r="N9" t="s">
        <v>176</v>
      </c>
      <c r="O9" t="s">
        <v>179</v>
      </c>
      <c r="P9">
        <v>53.95</v>
      </c>
      <c r="Q9">
        <v>-1.06667</v>
      </c>
    </row>
    <row r="10" spans="1:17">
      <c r="A10">
        <v>89</v>
      </c>
      <c r="B10">
        <v>925</v>
      </c>
      <c r="C10" t="s">
        <v>81</v>
      </c>
      <c r="D10" t="s">
        <v>123</v>
      </c>
      <c r="E10" t="s">
        <v>141</v>
      </c>
      <c r="F10">
        <v>1700</v>
      </c>
      <c r="G10">
        <v>1700</v>
      </c>
      <c r="H10">
        <f t="shared" si="0"/>
        <v>0</v>
      </c>
      <c r="I10" t="s">
        <v>146</v>
      </c>
      <c r="J10" t="s">
        <v>153</v>
      </c>
      <c r="K10" t="s">
        <v>160</v>
      </c>
      <c r="L10" t="s">
        <v>166</v>
      </c>
      <c r="M10" t="s">
        <v>173</v>
      </c>
      <c r="N10" t="s">
        <v>177</v>
      </c>
      <c r="O10" t="s">
        <v>181</v>
      </c>
      <c r="P10">
        <v>41.643500000000003</v>
      </c>
      <c r="Q10">
        <v>1.13957</v>
      </c>
    </row>
    <row r="11" spans="1:17">
      <c r="A11">
        <v>116</v>
      </c>
      <c r="B11">
        <v>1142</v>
      </c>
      <c r="C11" t="s">
        <v>86</v>
      </c>
      <c r="D11" t="s">
        <v>113</v>
      </c>
      <c r="E11" t="s">
        <v>131</v>
      </c>
      <c r="F11">
        <v>1850</v>
      </c>
      <c r="G11">
        <v>1850</v>
      </c>
      <c r="H11">
        <f t="shared" si="0"/>
        <v>0</v>
      </c>
      <c r="I11" t="s">
        <v>150</v>
      </c>
      <c r="J11" t="s">
        <v>152</v>
      </c>
      <c r="K11" t="s">
        <v>162</v>
      </c>
      <c r="L11" t="s">
        <v>167</v>
      </c>
      <c r="M11" t="s">
        <v>173</v>
      </c>
      <c r="N11" t="s">
        <v>176</v>
      </c>
      <c r="O11" t="s">
        <v>179</v>
      </c>
      <c r="P11">
        <v>51.963799999999999</v>
      </c>
      <c r="Q11">
        <v>-2.8858199999999998</v>
      </c>
    </row>
    <row r="12" spans="1:17">
      <c r="A12">
        <v>101</v>
      </c>
      <c r="B12">
        <v>1177</v>
      </c>
      <c r="C12" t="s">
        <v>89</v>
      </c>
      <c r="D12" t="s">
        <v>113</v>
      </c>
      <c r="E12" t="s">
        <v>131</v>
      </c>
      <c r="F12">
        <v>1640</v>
      </c>
      <c r="G12">
        <v>1640</v>
      </c>
      <c r="H12">
        <f t="shared" si="0"/>
        <v>0</v>
      </c>
      <c r="I12" t="s">
        <v>146</v>
      </c>
      <c r="J12" t="s">
        <v>152</v>
      </c>
      <c r="K12" t="s">
        <v>163</v>
      </c>
      <c r="L12" t="s">
        <v>166</v>
      </c>
      <c r="M12" t="s">
        <v>170</v>
      </c>
      <c r="N12" t="s">
        <v>176</v>
      </c>
      <c r="O12" t="s">
        <v>179</v>
      </c>
      <c r="P12">
        <v>53.953299999999999</v>
      </c>
      <c r="Q12">
        <v>-1.0734699999999999</v>
      </c>
    </row>
    <row r="13" spans="1:17">
      <c r="A13">
        <v>51</v>
      </c>
      <c r="B13">
        <v>1093</v>
      </c>
      <c r="C13" t="s">
        <v>94</v>
      </c>
      <c r="D13" t="s">
        <v>119</v>
      </c>
      <c r="E13" t="s">
        <v>137</v>
      </c>
      <c r="F13">
        <v>1700</v>
      </c>
      <c r="G13">
        <v>1700</v>
      </c>
      <c r="H13">
        <f t="shared" si="0"/>
        <v>0</v>
      </c>
      <c r="I13" t="s">
        <v>146</v>
      </c>
      <c r="J13" t="s">
        <v>155</v>
      </c>
      <c r="K13" t="s">
        <v>161</v>
      </c>
      <c r="L13" t="s">
        <v>161</v>
      </c>
      <c r="M13" t="s">
        <v>169</v>
      </c>
      <c r="N13" t="s">
        <v>176</v>
      </c>
      <c r="O13" t="s">
        <v>181</v>
      </c>
      <c r="P13">
        <v>38.6419</v>
      </c>
      <c r="Q13">
        <v>-9.106897</v>
      </c>
    </row>
    <row r="14" spans="1:17">
      <c r="A14">
        <v>80</v>
      </c>
      <c r="B14">
        <v>449</v>
      </c>
      <c r="C14" t="s">
        <v>19</v>
      </c>
      <c r="D14" t="s">
        <v>112</v>
      </c>
      <c r="E14" t="s">
        <v>130</v>
      </c>
      <c r="F14">
        <v>1915</v>
      </c>
      <c r="G14">
        <v>1918</v>
      </c>
      <c r="H14">
        <f t="shared" si="0"/>
        <v>3</v>
      </c>
      <c r="I14" t="s">
        <v>150</v>
      </c>
      <c r="J14" t="s">
        <v>156</v>
      </c>
      <c r="K14" t="s">
        <v>163</v>
      </c>
      <c r="L14" t="s">
        <v>166</v>
      </c>
      <c r="M14" t="s">
        <v>173</v>
      </c>
      <c r="N14" t="s">
        <v>176</v>
      </c>
      <c r="O14" t="s">
        <v>182</v>
      </c>
      <c r="P14">
        <v>55.719721999999997</v>
      </c>
      <c r="Q14">
        <v>24.363056</v>
      </c>
    </row>
    <row r="15" spans="1:17">
      <c r="A15">
        <v>188</v>
      </c>
      <c r="B15">
        <v>750</v>
      </c>
      <c r="C15" t="s">
        <v>37</v>
      </c>
      <c r="D15" t="s">
        <v>107</v>
      </c>
      <c r="E15" t="s">
        <v>125</v>
      </c>
      <c r="F15">
        <v>600</v>
      </c>
      <c r="G15">
        <v>640</v>
      </c>
      <c r="H15">
        <f t="shared" si="0"/>
        <v>40</v>
      </c>
      <c r="I15" t="s">
        <v>145</v>
      </c>
      <c r="J15" t="s">
        <v>152</v>
      </c>
      <c r="K15" t="s">
        <v>159</v>
      </c>
      <c r="L15" t="s">
        <v>161</v>
      </c>
      <c r="M15" t="s">
        <v>169</v>
      </c>
      <c r="N15" t="s">
        <v>176</v>
      </c>
      <c r="O15" t="s">
        <v>179</v>
      </c>
      <c r="P15">
        <v>50.091900000000003</v>
      </c>
      <c r="Q15">
        <v>3.2342399999999998</v>
      </c>
    </row>
    <row r="16" spans="1:17">
      <c r="A16">
        <v>97</v>
      </c>
      <c r="B16">
        <v>1198</v>
      </c>
      <c r="C16" t="s">
        <v>95</v>
      </c>
      <c r="D16" t="s">
        <v>118</v>
      </c>
      <c r="E16" t="s">
        <v>136</v>
      </c>
      <c r="F16">
        <v>1769</v>
      </c>
      <c r="G16">
        <v>1815</v>
      </c>
      <c r="H16">
        <f t="shared" si="0"/>
        <v>46</v>
      </c>
      <c r="I16" t="s">
        <v>150</v>
      </c>
      <c r="J16" t="s">
        <v>153</v>
      </c>
      <c r="K16" t="s">
        <v>163</v>
      </c>
      <c r="L16" t="s">
        <v>166</v>
      </c>
      <c r="M16" t="s">
        <v>172</v>
      </c>
      <c r="N16" t="s">
        <v>177</v>
      </c>
      <c r="O16" t="s">
        <v>180</v>
      </c>
      <c r="P16">
        <v>46.949561000000003</v>
      </c>
      <c r="Q16">
        <v>7.4375030000000004</v>
      </c>
    </row>
    <row r="17" spans="1:17">
      <c r="A17">
        <v>57</v>
      </c>
      <c r="B17">
        <v>673</v>
      </c>
      <c r="C17" t="s">
        <v>33</v>
      </c>
      <c r="D17" t="s">
        <v>107</v>
      </c>
      <c r="E17" t="s">
        <v>125</v>
      </c>
      <c r="F17">
        <v>670</v>
      </c>
      <c r="G17">
        <v>720</v>
      </c>
      <c r="H17">
        <f t="shared" si="0"/>
        <v>50</v>
      </c>
      <c r="I17" t="s">
        <v>145</v>
      </c>
      <c r="J17" t="s">
        <v>152</v>
      </c>
      <c r="K17" t="s">
        <v>159</v>
      </c>
      <c r="L17" t="s">
        <v>161</v>
      </c>
      <c r="M17" t="s">
        <v>169</v>
      </c>
      <c r="N17" t="s">
        <v>175</v>
      </c>
      <c r="O17" t="s">
        <v>179</v>
      </c>
      <c r="P17">
        <v>49.734999999999999</v>
      </c>
      <c r="Q17">
        <v>1.7124699999999999</v>
      </c>
    </row>
    <row r="18" spans="1:17">
      <c r="A18">
        <v>11</v>
      </c>
      <c r="B18">
        <v>904</v>
      </c>
      <c r="C18" t="s">
        <v>61</v>
      </c>
      <c r="D18" t="s">
        <v>107</v>
      </c>
      <c r="E18" t="s">
        <v>125</v>
      </c>
      <c r="F18">
        <v>350</v>
      </c>
      <c r="G18">
        <v>400</v>
      </c>
      <c r="H18">
        <f t="shared" si="0"/>
        <v>50</v>
      </c>
      <c r="I18" t="s">
        <v>148</v>
      </c>
      <c r="J18" t="s">
        <v>153</v>
      </c>
      <c r="K18" t="s">
        <v>161</v>
      </c>
      <c r="L18" t="s">
        <v>161</v>
      </c>
      <c r="M18" t="s">
        <v>173</v>
      </c>
      <c r="N18" t="s">
        <v>176</v>
      </c>
      <c r="O18" t="s">
        <v>179</v>
      </c>
      <c r="P18">
        <v>50.313099999999999</v>
      </c>
      <c r="Q18">
        <v>2.8219110000000001</v>
      </c>
    </row>
    <row r="19" spans="1:17">
      <c r="A19">
        <v>8</v>
      </c>
      <c r="B19">
        <v>1009</v>
      </c>
      <c r="C19" t="s">
        <v>99</v>
      </c>
      <c r="D19" t="s">
        <v>114</v>
      </c>
      <c r="E19" t="s">
        <v>132</v>
      </c>
      <c r="F19">
        <v>1850</v>
      </c>
      <c r="G19">
        <v>1900</v>
      </c>
      <c r="H19">
        <f t="shared" si="0"/>
        <v>50</v>
      </c>
      <c r="I19" t="s">
        <v>150</v>
      </c>
      <c r="J19" t="s">
        <v>152</v>
      </c>
      <c r="K19" t="s">
        <v>160</v>
      </c>
      <c r="L19" t="s">
        <v>166</v>
      </c>
      <c r="M19" t="s">
        <v>169</v>
      </c>
      <c r="N19" t="s">
        <v>177</v>
      </c>
      <c r="O19" t="s">
        <v>180</v>
      </c>
      <c r="P19">
        <v>47.283391999999999</v>
      </c>
      <c r="Q19">
        <v>11.508865</v>
      </c>
    </row>
    <row r="20" spans="1:17">
      <c r="A20">
        <v>250</v>
      </c>
      <c r="B20">
        <v>1261</v>
      </c>
      <c r="C20" t="s">
        <v>102</v>
      </c>
      <c r="D20" t="s">
        <v>107</v>
      </c>
      <c r="E20" t="s">
        <v>125</v>
      </c>
      <c r="F20">
        <v>350</v>
      </c>
      <c r="G20">
        <v>400</v>
      </c>
      <c r="H20">
        <f t="shared" si="0"/>
        <v>50</v>
      </c>
      <c r="I20" t="s">
        <v>148</v>
      </c>
      <c r="J20" t="s">
        <v>152</v>
      </c>
      <c r="K20" t="s">
        <v>160</v>
      </c>
      <c r="L20" t="s">
        <v>166</v>
      </c>
      <c r="M20" t="s">
        <v>169</v>
      </c>
      <c r="N20" t="s">
        <v>176</v>
      </c>
      <c r="O20" t="s">
        <v>179</v>
      </c>
      <c r="P20">
        <v>49.908000000000001</v>
      </c>
      <c r="Q20">
        <v>2.2943600000000002</v>
      </c>
    </row>
    <row r="21" spans="1:17">
      <c r="A21">
        <v>24</v>
      </c>
      <c r="B21">
        <v>1268</v>
      </c>
      <c r="C21" t="s">
        <v>105</v>
      </c>
      <c r="D21" t="s">
        <v>118</v>
      </c>
      <c r="E21" t="s">
        <v>136</v>
      </c>
      <c r="F21">
        <v>350</v>
      </c>
      <c r="G21">
        <v>400</v>
      </c>
      <c r="H21">
        <f t="shared" si="0"/>
        <v>50</v>
      </c>
      <c r="I21" t="s">
        <v>148</v>
      </c>
      <c r="J21" t="s">
        <v>153</v>
      </c>
      <c r="K21" t="s">
        <v>159</v>
      </c>
      <c r="L21" t="s">
        <v>161</v>
      </c>
      <c r="M21" t="s">
        <v>169</v>
      </c>
      <c r="N21" t="s">
        <v>177</v>
      </c>
      <c r="O21" t="s">
        <v>180</v>
      </c>
      <c r="P21">
        <v>46.233040000000003</v>
      </c>
      <c r="Q21">
        <v>7.8698399999999999</v>
      </c>
    </row>
    <row r="22" spans="1:17">
      <c r="A22">
        <v>22</v>
      </c>
      <c r="B22">
        <v>736</v>
      </c>
      <c r="C22" t="s">
        <v>103</v>
      </c>
      <c r="D22" t="s">
        <v>118</v>
      </c>
      <c r="E22" t="s">
        <v>136</v>
      </c>
      <c r="F22">
        <v>1779</v>
      </c>
      <c r="G22">
        <v>1833</v>
      </c>
      <c r="H22">
        <f t="shared" si="0"/>
        <v>54</v>
      </c>
      <c r="I22" t="s">
        <v>150</v>
      </c>
      <c r="J22" t="s">
        <v>152</v>
      </c>
      <c r="K22" t="s">
        <v>160</v>
      </c>
      <c r="L22" t="s">
        <v>166</v>
      </c>
      <c r="M22" t="s">
        <v>169</v>
      </c>
      <c r="N22" t="s">
        <v>175</v>
      </c>
      <c r="O22" t="s">
        <v>180</v>
      </c>
      <c r="P22">
        <v>47.558700000000002</v>
      </c>
      <c r="Q22">
        <v>7.5970000000000004</v>
      </c>
    </row>
    <row r="23" spans="1:17">
      <c r="A23">
        <v>225</v>
      </c>
      <c r="B23">
        <v>680</v>
      </c>
      <c r="C23" t="s">
        <v>32</v>
      </c>
      <c r="D23" t="s">
        <v>116</v>
      </c>
      <c r="E23" t="s">
        <v>134</v>
      </c>
      <c r="F23">
        <v>1140</v>
      </c>
      <c r="G23">
        <v>1210</v>
      </c>
      <c r="H23">
        <f t="shared" si="0"/>
        <v>70</v>
      </c>
      <c r="I23" t="s">
        <v>149</v>
      </c>
      <c r="J23" t="s">
        <v>155</v>
      </c>
      <c r="K23" t="s">
        <v>160</v>
      </c>
      <c r="L23" t="s">
        <v>166</v>
      </c>
      <c r="M23" t="s">
        <v>171</v>
      </c>
      <c r="N23" t="s">
        <v>176</v>
      </c>
      <c r="O23" t="s">
        <v>182</v>
      </c>
      <c r="P23">
        <v>54.5167</v>
      </c>
      <c r="Q23">
        <v>9.5666700000000002</v>
      </c>
    </row>
    <row r="24" spans="1:17">
      <c r="A24">
        <v>440</v>
      </c>
      <c r="B24">
        <v>1079</v>
      </c>
      <c r="C24" t="s">
        <v>79</v>
      </c>
      <c r="D24" t="s">
        <v>113</v>
      </c>
      <c r="E24" t="s">
        <v>131</v>
      </c>
      <c r="F24">
        <v>1775</v>
      </c>
      <c r="G24">
        <v>1850</v>
      </c>
      <c r="H24">
        <f t="shared" si="0"/>
        <v>75</v>
      </c>
      <c r="I24" t="s">
        <v>150</v>
      </c>
      <c r="J24" t="s">
        <v>152</v>
      </c>
      <c r="K24" t="s">
        <v>164</v>
      </c>
      <c r="L24" t="s">
        <v>167</v>
      </c>
      <c r="M24" t="s">
        <v>173</v>
      </c>
      <c r="N24" t="s">
        <v>175</v>
      </c>
      <c r="O24" t="s">
        <v>179</v>
      </c>
      <c r="P24">
        <v>52.477899999999998</v>
      </c>
      <c r="Q24">
        <v>-1.8938900000000001</v>
      </c>
    </row>
    <row r="25" spans="1:17">
      <c r="A25">
        <v>86</v>
      </c>
      <c r="B25">
        <v>400</v>
      </c>
      <c r="C25" t="s">
        <v>4</v>
      </c>
      <c r="D25" t="s">
        <v>108</v>
      </c>
      <c r="E25" t="s">
        <v>126</v>
      </c>
      <c r="F25">
        <v>670</v>
      </c>
      <c r="G25">
        <v>750</v>
      </c>
      <c r="H25">
        <f t="shared" si="0"/>
        <v>80</v>
      </c>
      <c r="I25" t="s">
        <v>145</v>
      </c>
      <c r="J25" t="s">
        <v>153</v>
      </c>
      <c r="K25" t="s">
        <v>159</v>
      </c>
      <c r="L25" t="s">
        <v>161</v>
      </c>
      <c r="M25" t="s">
        <v>170</v>
      </c>
      <c r="N25" t="s">
        <v>176</v>
      </c>
      <c r="O25" t="s">
        <v>180</v>
      </c>
      <c r="P25">
        <v>46.297387999999998</v>
      </c>
      <c r="Q25">
        <v>20.057300999999999</v>
      </c>
    </row>
    <row r="26" spans="1:17">
      <c r="A26">
        <v>47</v>
      </c>
      <c r="B26">
        <v>1023</v>
      </c>
      <c r="C26" t="s">
        <v>74</v>
      </c>
      <c r="D26" t="s">
        <v>119</v>
      </c>
      <c r="E26" t="s">
        <v>137</v>
      </c>
      <c r="F26">
        <v>920</v>
      </c>
      <c r="G26">
        <v>1000</v>
      </c>
      <c r="H26">
        <f t="shared" si="0"/>
        <v>80</v>
      </c>
      <c r="I26" t="s">
        <v>145</v>
      </c>
      <c r="J26" t="s">
        <v>152</v>
      </c>
      <c r="K26" t="s">
        <v>161</v>
      </c>
      <c r="L26" t="s">
        <v>161</v>
      </c>
      <c r="M26" t="s">
        <v>171</v>
      </c>
      <c r="N26" t="s">
        <v>176</v>
      </c>
      <c r="O26" t="s">
        <v>181</v>
      </c>
      <c r="P26">
        <v>37.019418999999999</v>
      </c>
      <c r="Q26">
        <v>-8.0146060000000006</v>
      </c>
    </row>
    <row r="27" spans="1:17">
      <c r="A27">
        <v>277</v>
      </c>
      <c r="B27">
        <v>1240</v>
      </c>
      <c r="C27" t="s">
        <v>93</v>
      </c>
      <c r="D27" t="s">
        <v>118</v>
      </c>
      <c r="E27" t="s">
        <v>136</v>
      </c>
      <c r="F27">
        <v>1730</v>
      </c>
      <c r="G27">
        <v>1815</v>
      </c>
      <c r="H27">
        <f t="shared" si="0"/>
        <v>85</v>
      </c>
      <c r="I27" t="s">
        <v>150</v>
      </c>
      <c r="J27" t="s">
        <v>153</v>
      </c>
      <c r="K27" t="s">
        <v>163</v>
      </c>
      <c r="L27" t="s">
        <v>166</v>
      </c>
      <c r="M27" t="s">
        <v>172</v>
      </c>
      <c r="N27" t="s">
        <v>177</v>
      </c>
      <c r="O27" t="s">
        <v>180</v>
      </c>
      <c r="P27">
        <v>46.949561000000003</v>
      </c>
      <c r="Q27">
        <v>7.4375030000000004</v>
      </c>
    </row>
    <row r="28" spans="1:17">
      <c r="A28">
        <v>122</v>
      </c>
      <c r="B28">
        <v>183</v>
      </c>
      <c r="C28" t="s">
        <v>9</v>
      </c>
      <c r="D28" t="s">
        <v>112</v>
      </c>
      <c r="E28" t="s">
        <v>130</v>
      </c>
      <c r="F28">
        <v>1547</v>
      </c>
      <c r="G28">
        <v>1645</v>
      </c>
      <c r="H28">
        <f t="shared" si="0"/>
        <v>98</v>
      </c>
      <c r="I28" t="s">
        <v>146</v>
      </c>
      <c r="J28" t="s">
        <v>152</v>
      </c>
      <c r="K28" t="s">
        <v>162</v>
      </c>
      <c r="L28" t="s">
        <v>167</v>
      </c>
      <c r="M28" t="s">
        <v>172</v>
      </c>
      <c r="N28" t="s">
        <v>175</v>
      </c>
      <c r="O28" t="s">
        <v>182</v>
      </c>
      <c r="P28">
        <v>54.676279999999998</v>
      </c>
      <c r="Q28">
        <v>25.29082</v>
      </c>
    </row>
    <row r="29" spans="1:17">
      <c r="A29">
        <v>43</v>
      </c>
      <c r="B29">
        <v>169</v>
      </c>
      <c r="C29" t="s">
        <v>10</v>
      </c>
      <c r="D29" t="s">
        <v>112</v>
      </c>
      <c r="E29" t="s">
        <v>130</v>
      </c>
      <c r="F29">
        <v>1550</v>
      </c>
      <c r="G29">
        <v>1650</v>
      </c>
      <c r="H29">
        <f t="shared" si="0"/>
        <v>100</v>
      </c>
      <c r="I29" t="s">
        <v>146</v>
      </c>
      <c r="J29" t="s">
        <v>155</v>
      </c>
      <c r="K29" t="s">
        <v>163</v>
      </c>
      <c r="L29" t="s">
        <v>166</v>
      </c>
      <c r="M29" t="s">
        <v>169</v>
      </c>
      <c r="N29" t="s">
        <v>175</v>
      </c>
      <c r="O29" t="s">
        <v>182</v>
      </c>
      <c r="P29">
        <v>54.679499999999997</v>
      </c>
      <c r="Q29">
        <v>25.28078</v>
      </c>
    </row>
    <row r="30" spans="1:17">
      <c r="A30">
        <v>25</v>
      </c>
      <c r="B30">
        <v>176</v>
      </c>
      <c r="C30" t="s">
        <v>11</v>
      </c>
      <c r="D30" t="s">
        <v>112</v>
      </c>
      <c r="E30" t="s">
        <v>130</v>
      </c>
      <c r="F30">
        <v>1550</v>
      </c>
      <c r="G30">
        <v>1650</v>
      </c>
      <c r="H30">
        <f t="shared" si="0"/>
        <v>100</v>
      </c>
      <c r="I30" t="s">
        <v>146</v>
      </c>
      <c r="J30" t="s">
        <v>152</v>
      </c>
      <c r="K30" t="s">
        <v>163</v>
      </c>
      <c r="L30" t="s">
        <v>166</v>
      </c>
      <c r="M30" t="s">
        <v>169</v>
      </c>
      <c r="N30" t="s">
        <v>175</v>
      </c>
      <c r="O30" t="s">
        <v>182</v>
      </c>
      <c r="P30">
        <v>54.679499999999997</v>
      </c>
      <c r="Q30">
        <v>25.28078</v>
      </c>
    </row>
    <row r="31" spans="1:17">
      <c r="A31">
        <v>6</v>
      </c>
      <c r="B31">
        <v>526</v>
      </c>
      <c r="C31" t="s">
        <v>26</v>
      </c>
      <c r="D31" t="s">
        <v>115</v>
      </c>
      <c r="E31" t="s">
        <v>133</v>
      </c>
      <c r="F31">
        <v>1150</v>
      </c>
      <c r="G31">
        <v>1250</v>
      </c>
      <c r="H31">
        <f t="shared" si="0"/>
        <v>100</v>
      </c>
      <c r="I31" t="s">
        <v>149</v>
      </c>
      <c r="J31" t="s">
        <v>152</v>
      </c>
      <c r="K31" t="s">
        <v>160</v>
      </c>
      <c r="L31" t="s">
        <v>166</v>
      </c>
      <c r="M31" t="s">
        <v>173</v>
      </c>
      <c r="N31" t="s">
        <v>176</v>
      </c>
      <c r="O31" t="s">
        <v>182</v>
      </c>
      <c r="P31">
        <v>52.410499999999999</v>
      </c>
      <c r="Q31">
        <v>16.9375</v>
      </c>
    </row>
    <row r="32" spans="1:17">
      <c r="A32">
        <v>233</v>
      </c>
      <c r="B32">
        <v>512</v>
      </c>
      <c r="C32" t="s">
        <v>30</v>
      </c>
      <c r="D32" t="s">
        <v>115</v>
      </c>
      <c r="E32" t="s">
        <v>133</v>
      </c>
      <c r="F32">
        <v>850</v>
      </c>
      <c r="G32">
        <v>950</v>
      </c>
      <c r="H32">
        <f t="shared" si="0"/>
        <v>100</v>
      </c>
      <c r="I32" t="s">
        <v>145</v>
      </c>
      <c r="J32" t="s">
        <v>153</v>
      </c>
      <c r="K32" t="s">
        <v>161</v>
      </c>
      <c r="L32" t="s">
        <v>161</v>
      </c>
      <c r="M32" t="s">
        <v>173</v>
      </c>
      <c r="N32" t="s">
        <v>176</v>
      </c>
      <c r="O32" t="s">
        <v>182</v>
      </c>
      <c r="P32">
        <v>52.320599999999999</v>
      </c>
      <c r="Q32">
        <v>17.363199999999999</v>
      </c>
    </row>
    <row r="33" spans="1:17">
      <c r="A33">
        <v>124</v>
      </c>
      <c r="B33">
        <v>638</v>
      </c>
      <c r="C33" t="s">
        <v>31</v>
      </c>
      <c r="D33" t="s">
        <v>110</v>
      </c>
      <c r="E33" t="s">
        <v>128</v>
      </c>
      <c r="F33">
        <v>300</v>
      </c>
      <c r="G33">
        <v>400</v>
      </c>
      <c r="H33">
        <f t="shared" si="0"/>
        <v>100</v>
      </c>
      <c r="I33" t="s">
        <v>148</v>
      </c>
      <c r="J33" t="s">
        <v>153</v>
      </c>
      <c r="K33" t="s">
        <v>163</v>
      </c>
      <c r="L33" t="s">
        <v>166</v>
      </c>
      <c r="M33" t="s">
        <v>172</v>
      </c>
      <c r="N33" t="s">
        <v>176</v>
      </c>
      <c r="O33" t="s">
        <v>180</v>
      </c>
      <c r="P33">
        <v>44.851900000000001</v>
      </c>
      <c r="Q33">
        <v>28.581399999999999</v>
      </c>
    </row>
    <row r="34" spans="1:17">
      <c r="A34">
        <v>96</v>
      </c>
      <c r="B34">
        <v>708</v>
      </c>
      <c r="C34" t="s">
        <v>35</v>
      </c>
      <c r="D34" t="s">
        <v>109</v>
      </c>
      <c r="E34" t="s">
        <v>127</v>
      </c>
      <c r="F34">
        <v>500</v>
      </c>
      <c r="G34">
        <v>600</v>
      </c>
      <c r="H34">
        <f t="shared" ref="H34:H65" si="1">G34-F34</f>
        <v>100</v>
      </c>
      <c r="I34" t="s">
        <v>145</v>
      </c>
      <c r="J34" t="s">
        <v>153</v>
      </c>
      <c r="K34" t="s">
        <v>161</v>
      </c>
      <c r="L34" t="s">
        <v>161</v>
      </c>
      <c r="M34" t="s">
        <v>173</v>
      </c>
      <c r="N34" t="s">
        <v>175</v>
      </c>
      <c r="O34" t="s">
        <v>181</v>
      </c>
      <c r="P34">
        <v>40.342100000000002</v>
      </c>
      <c r="Q34">
        <v>21.805199999999999</v>
      </c>
    </row>
    <row r="35" spans="1:17">
      <c r="A35">
        <v>44</v>
      </c>
      <c r="B35">
        <v>701</v>
      </c>
      <c r="C35" t="s">
        <v>36</v>
      </c>
      <c r="D35" t="s">
        <v>109</v>
      </c>
      <c r="E35" t="s">
        <v>127</v>
      </c>
      <c r="F35">
        <v>500</v>
      </c>
      <c r="G35">
        <v>600</v>
      </c>
      <c r="H35">
        <f t="shared" si="1"/>
        <v>100</v>
      </c>
      <c r="I35" t="s">
        <v>145</v>
      </c>
      <c r="J35" t="s">
        <v>152</v>
      </c>
      <c r="K35" t="s">
        <v>160</v>
      </c>
      <c r="L35" t="s">
        <v>166</v>
      </c>
      <c r="M35" t="s">
        <v>173</v>
      </c>
      <c r="N35" t="s">
        <v>176</v>
      </c>
      <c r="O35" t="s">
        <v>181</v>
      </c>
      <c r="P35">
        <v>37.180199999999999</v>
      </c>
      <c r="Q35">
        <v>22.004899999999999</v>
      </c>
    </row>
    <row r="36" spans="1:17">
      <c r="A36">
        <v>167</v>
      </c>
      <c r="B36">
        <v>743</v>
      </c>
      <c r="C36" t="s">
        <v>39</v>
      </c>
      <c r="D36" t="s">
        <v>110</v>
      </c>
      <c r="E36" t="s">
        <v>128</v>
      </c>
      <c r="F36">
        <v>300</v>
      </c>
      <c r="G36">
        <v>400</v>
      </c>
      <c r="H36">
        <f t="shared" si="1"/>
        <v>100</v>
      </c>
      <c r="I36" t="s">
        <v>148</v>
      </c>
      <c r="J36" t="s">
        <v>153</v>
      </c>
      <c r="K36" t="s">
        <v>163</v>
      </c>
      <c r="L36" t="s">
        <v>166</v>
      </c>
      <c r="M36" t="s">
        <v>171</v>
      </c>
      <c r="N36" t="s">
        <v>176</v>
      </c>
      <c r="O36" t="s">
        <v>180</v>
      </c>
      <c r="P36">
        <v>43.8108</v>
      </c>
      <c r="Q36">
        <v>28.578099999999999</v>
      </c>
    </row>
    <row r="37" spans="1:17">
      <c r="A37">
        <v>165</v>
      </c>
      <c r="B37">
        <v>806</v>
      </c>
      <c r="C37" t="s">
        <v>40</v>
      </c>
      <c r="D37" t="s">
        <v>112</v>
      </c>
      <c r="E37" t="s">
        <v>130</v>
      </c>
      <c r="F37">
        <v>1450</v>
      </c>
      <c r="G37">
        <v>1550</v>
      </c>
      <c r="H37">
        <f t="shared" si="1"/>
        <v>100</v>
      </c>
      <c r="I37" t="s">
        <v>147</v>
      </c>
      <c r="J37" t="s">
        <v>152</v>
      </c>
      <c r="K37" t="s">
        <v>163</v>
      </c>
      <c r="L37" t="s">
        <v>166</v>
      </c>
      <c r="M37" t="s">
        <v>173</v>
      </c>
      <c r="N37" t="s">
        <v>175</v>
      </c>
      <c r="O37" t="s">
        <v>182</v>
      </c>
      <c r="P37">
        <v>54.6768</v>
      </c>
      <c r="Q37">
        <v>25.2773</v>
      </c>
    </row>
    <row r="38" spans="1:17">
      <c r="A38">
        <v>105</v>
      </c>
      <c r="B38">
        <v>820</v>
      </c>
      <c r="C38" t="s">
        <v>47</v>
      </c>
      <c r="D38" t="s">
        <v>110</v>
      </c>
      <c r="E38" t="s">
        <v>128</v>
      </c>
      <c r="F38">
        <v>500</v>
      </c>
      <c r="G38">
        <v>600</v>
      </c>
      <c r="H38">
        <f t="shared" si="1"/>
        <v>100</v>
      </c>
      <c r="I38" t="s">
        <v>145</v>
      </c>
      <c r="J38" t="s">
        <v>152</v>
      </c>
      <c r="K38" t="s">
        <v>160</v>
      </c>
      <c r="L38" t="s">
        <v>166</v>
      </c>
      <c r="M38" t="s">
        <v>171</v>
      </c>
      <c r="N38" t="s">
        <v>176</v>
      </c>
      <c r="O38" t="s">
        <v>180</v>
      </c>
      <c r="P38">
        <v>44.547199999999997</v>
      </c>
      <c r="Q38">
        <v>28.771899999999999</v>
      </c>
    </row>
    <row r="39" spans="1:17">
      <c r="A39">
        <v>164</v>
      </c>
      <c r="B39">
        <v>7361</v>
      </c>
      <c r="C39" t="s">
        <v>49</v>
      </c>
      <c r="D39" t="s">
        <v>118</v>
      </c>
      <c r="E39" t="s">
        <v>136</v>
      </c>
      <c r="F39">
        <v>1200</v>
      </c>
      <c r="G39">
        <v>1300</v>
      </c>
      <c r="H39">
        <f t="shared" si="1"/>
        <v>100</v>
      </c>
      <c r="I39" t="s">
        <v>149</v>
      </c>
      <c r="J39" t="s">
        <v>152</v>
      </c>
      <c r="K39" t="s">
        <v>160</v>
      </c>
      <c r="L39" t="s">
        <v>166</v>
      </c>
      <c r="M39" t="s">
        <v>170</v>
      </c>
      <c r="N39" t="s">
        <v>175</v>
      </c>
      <c r="O39" t="s">
        <v>180</v>
      </c>
      <c r="P39">
        <v>47.5548</v>
      </c>
      <c r="Q39">
        <v>7.5902000000000003</v>
      </c>
    </row>
    <row r="40" spans="1:17">
      <c r="A40">
        <v>179</v>
      </c>
      <c r="B40">
        <v>645</v>
      </c>
      <c r="C40" t="s">
        <v>53</v>
      </c>
      <c r="D40" t="s">
        <v>108</v>
      </c>
      <c r="E40" t="s">
        <v>126</v>
      </c>
      <c r="F40">
        <v>930</v>
      </c>
      <c r="G40">
        <v>1030</v>
      </c>
      <c r="H40">
        <f t="shared" si="1"/>
        <v>100</v>
      </c>
      <c r="I40" t="s">
        <v>145</v>
      </c>
      <c r="J40" t="s">
        <v>153</v>
      </c>
      <c r="K40" t="s">
        <v>161</v>
      </c>
      <c r="L40" t="s">
        <v>161</v>
      </c>
      <c r="M40" t="s">
        <v>173</v>
      </c>
      <c r="N40" t="s">
        <v>176</v>
      </c>
      <c r="O40" t="s">
        <v>180</v>
      </c>
      <c r="P40">
        <v>46.483066999999998</v>
      </c>
      <c r="Q40">
        <v>19.102561000000001</v>
      </c>
    </row>
    <row r="41" spans="1:17">
      <c r="A41">
        <v>94</v>
      </c>
      <c r="B41">
        <v>890</v>
      </c>
      <c r="C41" t="s">
        <v>54</v>
      </c>
      <c r="D41" t="s">
        <v>108</v>
      </c>
      <c r="E41" t="s">
        <v>126</v>
      </c>
      <c r="F41">
        <v>450</v>
      </c>
      <c r="G41">
        <v>550</v>
      </c>
      <c r="H41">
        <f t="shared" si="1"/>
        <v>100</v>
      </c>
      <c r="I41" t="s">
        <v>148</v>
      </c>
      <c r="J41" t="s">
        <v>156</v>
      </c>
      <c r="K41" t="s">
        <v>161</v>
      </c>
      <c r="L41" t="s">
        <v>161</v>
      </c>
      <c r="M41" t="s">
        <v>170</v>
      </c>
      <c r="N41" t="s">
        <v>176</v>
      </c>
      <c r="O41" t="s">
        <v>180</v>
      </c>
      <c r="P41">
        <v>46.195323000000002</v>
      </c>
      <c r="Q41">
        <v>20.197807999999998</v>
      </c>
    </row>
    <row r="42" spans="1:17">
      <c r="A42">
        <v>42</v>
      </c>
      <c r="B42">
        <v>960</v>
      </c>
      <c r="C42" t="s">
        <v>69</v>
      </c>
      <c r="D42" t="s">
        <v>119</v>
      </c>
      <c r="E42" t="s">
        <v>137</v>
      </c>
      <c r="F42">
        <v>1300</v>
      </c>
      <c r="G42">
        <v>1400</v>
      </c>
      <c r="H42">
        <f t="shared" si="1"/>
        <v>100</v>
      </c>
      <c r="I42" t="s">
        <v>147</v>
      </c>
      <c r="J42" t="s">
        <v>153</v>
      </c>
      <c r="K42" t="s">
        <v>159</v>
      </c>
      <c r="L42" t="s">
        <v>161</v>
      </c>
      <c r="M42" t="s">
        <v>171</v>
      </c>
      <c r="N42" t="s">
        <v>176</v>
      </c>
      <c r="O42" t="s">
        <v>181</v>
      </c>
      <c r="P42">
        <v>37.157319000000001</v>
      </c>
      <c r="Q42">
        <v>-7.5449219999999997</v>
      </c>
    </row>
    <row r="43" spans="1:17">
      <c r="A43">
        <v>299</v>
      </c>
      <c r="B43">
        <v>1030</v>
      </c>
      <c r="C43" t="s">
        <v>70</v>
      </c>
      <c r="D43" t="s">
        <v>122</v>
      </c>
      <c r="E43" t="s">
        <v>140</v>
      </c>
      <c r="F43">
        <v>1500</v>
      </c>
      <c r="G43">
        <v>1600</v>
      </c>
      <c r="H43">
        <f t="shared" si="1"/>
        <v>100</v>
      </c>
      <c r="I43" t="s">
        <v>146</v>
      </c>
      <c r="J43" t="s">
        <v>152</v>
      </c>
      <c r="K43" t="s">
        <v>163</v>
      </c>
      <c r="L43" t="s">
        <v>166</v>
      </c>
      <c r="M43" t="s">
        <v>171</v>
      </c>
      <c r="N43" t="s">
        <v>176</v>
      </c>
      <c r="O43" t="s">
        <v>182</v>
      </c>
      <c r="P43">
        <v>56.949199999999998</v>
      </c>
      <c r="Q43">
        <v>24.105399999999999</v>
      </c>
    </row>
    <row r="44" spans="1:17">
      <c r="A44">
        <v>13</v>
      </c>
      <c r="B44">
        <v>659</v>
      </c>
      <c r="C44" t="s">
        <v>72</v>
      </c>
      <c r="D44" t="s">
        <v>109</v>
      </c>
      <c r="E44" t="s">
        <v>127</v>
      </c>
      <c r="F44">
        <v>1100</v>
      </c>
      <c r="G44">
        <v>1200</v>
      </c>
      <c r="H44">
        <f t="shared" si="1"/>
        <v>100</v>
      </c>
      <c r="I44" t="s">
        <v>149</v>
      </c>
      <c r="J44" t="s">
        <v>152</v>
      </c>
      <c r="K44" t="s">
        <v>163</v>
      </c>
      <c r="L44" t="s">
        <v>166</v>
      </c>
      <c r="M44" t="s">
        <v>173</v>
      </c>
      <c r="N44" t="s">
        <v>175</v>
      </c>
      <c r="O44" t="s">
        <v>181</v>
      </c>
      <c r="P44">
        <v>38.319758</v>
      </c>
      <c r="Q44">
        <v>23.317602999999998</v>
      </c>
    </row>
    <row r="45" spans="1:17">
      <c r="A45">
        <v>139</v>
      </c>
      <c r="B45">
        <v>1016</v>
      </c>
      <c r="C45" t="s">
        <v>75</v>
      </c>
      <c r="D45" t="s">
        <v>116</v>
      </c>
      <c r="E45" t="s">
        <v>134</v>
      </c>
      <c r="F45">
        <v>650</v>
      </c>
      <c r="G45">
        <v>750</v>
      </c>
      <c r="H45">
        <f t="shared" si="1"/>
        <v>100</v>
      </c>
      <c r="I45" t="s">
        <v>145</v>
      </c>
      <c r="J45" t="s">
        <v>153</v>
      </c>
      <c r="K45" t="s">
        <v>161</v>
      </c>
      <c r="L45" t="s">
        <v>161</v>
      </c>
      <c r="M45" t="s">
        <v>173</v>
      </c>
      <c r="N45" t="s">
        <v>177</v>
      </c>
      <c r="O45" t="s">
        <v>180</v>
      </c>
      <c r="P45">
        <v>48.75</v>
      </c>
      <c r="Q45">
        <v>11.533300000000001</v>
      </c>
    </row>
    <row r="46" spans="1:17">
      <c r="A46">
        <v>106</v>
      </c>
      <c r="B46">
        <v>834</v>
      </c>
      <c r="C46" t="s">
        <v>77</v>
      </c>
      <c r="D46" t="s">
        <v>113</v>
      </c>
      <c r="E46" t="s">
        <v>131</v>
      </c>
      <c r="F46">
        <v>500</v>
      </c>
      <c r="G46">
        <v>600</v>
      </c>
      <c r="H46">
        <f t="shared" si="1"/>
        <v>100</v>
      </c>
      <c r="I46" t="s">
        <v>145</v>
      </c>
      <c r="J46" t="s">
        <v>152</v>
      </c>
      <c r="K46" t="s">
        <v>161</v>
      </c>
      <c r="L46" t="s">
        <v>161</v>
      </c>
      <c r="M46" t="s">
        <v>172</v>
      </c>
      <c r="N46" t="s">
        <v>175</v>
      </c>
      <c r="O46" t="s">
        <v>179</v>
      </c>
      <c r="P46">
        <v>50.928899999999999</v>
      </c>
      <c r="Q46">
        <v>-0.87083299999999997</v>
      </c>
    </row>
    <row r="47" spans="1:17">
      <c r="A47">
        <v>194</v>
      </c>
      <c r="B47">
        <v>1051</v>
      </c>
      <c r="C47" t="s">
        <v>80</v>
      </c>
      <c r="D47" t="s">
        <v>122</v>
      </c>
      <c r="E47" t="s">
        <v>140</v>
      </c>
      <c r="F47">
        <v>1600</v>
      </c>
      <c r="G47">
        <v>1700</v>
      </c>
      <c r="H47">
        <f t="shared" si="1"/>
        <v>100</v>
      </c>
      <c r="I47" t="s">
        <v>146</v>
      </c>
      <c r="J47" t="s">
        <v>152</v>
      </c>
      <c r="K47" t="s">
        <v>163</v>
      </c>
      <c r="L47" t="s">
        <v>166</v>
      </c>
      <c r="M47" t="s">
        <v>170</v>
      </c>
      <c r="N47" t="s">
        <v>176</v>
      </c>
      <c r="O47" t="s">
        <v>182</v>
      </c>
      <c r="P47">
        <v>56.947699999999998</v>
      </c>
      <c r="Q47">
        <v>24.108699999999999</v>
      </c>
    </row>
    <row r="48" spans="1:17">
      <c r="A48">
        <v>127</v>
      </c>
      <c r="B48">
        <v>967</v>
      </c>
      <c r="C48" t="s">
        <v>83</v>
      </c>
      <c r="D48" t="s">
        <v>115</v>
      </c>
      <c r="E48" t="s">
        <v>133</v>
      </c>
      <c r="F48">
        <v>1550</v>
      </c>
      <c r="G48">
        <v>1650</v>
      </c>
      <c r="H48">
        <f t="shared" si="1"/>
        <v>100</v>
      </c>
      <c r="I48" t="s">
        <v>146</v>
      </c>
      <c r="J48" t="s">
        <v>153</v>
      </c>
      <c r="K48" t="s">
        <v>161</v>
      </c>
      <c r="L48" t="s">
        <v>161</v>
      </c>
      <c r="M48" t="s">
        <v>173</v>
      </c>
      <c r="N48" t="s">
        <v>176</v>
      </c>
      <c r="O48" t="s">
        <v>182</v>
      </c>
      <c r="P48">
        <v>53.130007999999997</v>
      </c>
      <c r="Q48">
        <v>18.722472</v>
      </c>
    </row>
    <row r="49" spans="1:17">
      <c r="A49">
        <v>144</v>
      </c>
      <c r="B49">
        <v>1163</v>
      </c>
      <c r="C49" t="s">
        <v>88</v>
      </c>
      <c r="D49" t="s">
        <v>122</v>
      </c>
      <c r="E49" t="s">
        <v>140</v>
      </c>
      <c r="F49">
        <v>1500</v>
      </c>
      <c r="G49">
        <v>1600</v>
      </c>
      <c r="H49">
        <f t="shared" si="1"/>
        <v>100</v>
      </c>
      <c r="I49" t="s">
        <v>146</v>
      </c>
      <c r="J49" t="s">
        <v>153</v>
      </c>
      <c r="K49" t="s">
        <v>161</v>
      </c>
      <c r="L49" t="s">
        <v>161</v>
      </c>
      <c r="M49" t="s">
        <v>170</v>
      </c>
      <c r="N49" t="s">
        <v>175</v>
      </c>
      <c r="O49" t="s">
        <v>182</v>
      </c>
      <c r="P49">
        <v>56.816569999999999</v>
      </c>
      <c r="Q49">
        <v>25.63325</v>
      </c>
    </row>
    <row r="50" spans="1:17">
      <c r="A50">
        <v>49</v>
      </c>
      <c r="B50">
        <v>1121</v>
      </c>
      <c r="C50" t="s">
        <v>100</v>
      </c>
      <c r="D50" t="s">
        <v>115</v>
      </c>
      <c r="E50" t="s">
        <v>133</v>
      </c>
      <c r="F50">
        <v>1650</v>
      </c>
      <c r="G50">
        <v>1750</v>
      </c>
      <c r="H50">
        <f t="shared" si="1"/>
        <v>100</v>
      </c>
      <c r="I50" t="s">
        <v>146</v>
      </c>
      <c r="J50" t="s">
        <v>153</v>
      </c>
      <c r="K50" t="s">
        <v>161</v>
      </c>
      <c r="L50" t="s">
        <v>161</v>
      </c>
      <c r="M50" t="s">
        <v>173</v>
      </c>
      <c r="N50" t="s">
        <v>176</v>
      </c>
      <c r="O50" t="s">
        <v>182</v>
      </c>
      <c r="P50">
        <v>53.183605999999997</v>
      </c>
      <c r="Q50">
        <v>18.211631000000001</v>
      </c>
    </row>
    <row r="51" spans="1:17">
      <c r="A51">
        <v>53</v>
      </c>
      <c r="B51">
        <v>932</v>
      </c>
      <c r="C51" t="s">
        <v>101</v>
      </c>
      <c r="D51" t="s">
        <v>123</v>
      </c>
      <c r="E51" t="s">
        <v>141</v>
      </c>
      <c r="F51">
        <v>1300</v>
      </c>
      <c r="G51">
        <v>1400</v>
      </c>
      <c r="H51">
        <f t="shared" si="1"/>
        <v>100</v>
      </c>
      <c r="I51" t="s">
        <v>147</v>
      </c>
      <c r="J51" t="s">
        <v>153</v>
      </c>
      <c r="K51" t="s">
        <v>160</v>
      </c>
      <c r="L51" t="s">
        <v>166</v>
      </c>
      <c r="M51" t="s">
        <v>173</v>
      </c>
      <c r="N51" t="s">
        <v>177</v>
      </c>
      <c r="O51" t="s">
        <v>181</v>
      </c>
      <c r="P51">
        <v>41.644199999999998</v>
      </c>
      <c r="Q51">
        <v>1.14791</v>
      </c>
    </row>
    <row r="52" spans="1:17">
      <c r="A52">
        <v>30</v>
      </c>
      <c r="B52">
        <v>1233</v>
      </c>
      <c r="C52" t="s">
        <v>104</v>
      </c>
      <c r="D52" t="s">
        <v>121</v>
      </c>
      <c r="E52" t="s">
        <v>139</v>
      </c>
      <c r="F52">
        <v>1500</v>
      </c>
      <c r="G52">
        <v>1600</v>
      </c>
      <c r="H52">
        <f t="shared" si="1"/>
        <v>100</v>
      </c>
      <c r="I52" t="s">
        <v>146</v>
      </c>
      <c r="J52" t="s">
        <v>153</v>
      </c>
      <c r="K52" t="s">
        <v>161</v>
      </c>
      <c r="L52" t="s">
        <v>161</v>
      </c>
      <c r="M52" t="s">
        <v>169</v>
      </c>
      <c r="N52" t="s">
        <v>175</v>
      </c>
      <c r="O52" t="s">
        <v>180</v>
      </c>
      <c r="P52">
        <v>50.078681000000003</v>
      </c>
      <c r="Q52">
        <v>30.902685999999999</v>
      </c>
    </row>
    <row r="53" spans="1:17">
      <c r="A53">
        <v>98</v>
      </c>
      <c r="B53">
        <v>155</v>
      </c>
      <c r="C53" t="s">
        <v>15</v>
      </c>
      <c r="D53" t="s">
        <v>112</v>
      </c>
      <c r="E53" t="s">
        <v>130</v>
      </c>
      <c r="F53">
        <v>1350</v>
      </c>
      <c r="G53">
        <v>1500</v>
      </c>
      <c r="H53">
        <f t="shared" si="1"/>
        <v>150</v>
      </c>
      <c r="I53" t="s">
        <v>147</v>
      </c>
      <c r="J53" t="s">
        <v>152</v>
      </c>
      <c r="K53" t="s">
        <v>160</v>
      </c>
      <c r="L53" t="s">
        <v>166</v>
      </c>
      <c r="M53" t="s">
        <v>172</v>
      </c>
      <c r="N53" t="s">
        <v>175</v>
      </c>
      <c r="O53" t="s">
        <v>182</v>
      </c>
      <c r="P53">
        <v>54.681190000000001</v>
      </c>
      <c r="Q53">
        <v>25.2897</v>
      </c>
    </row>
    <row r="54" spans="1:17">
      <c r="A54">
        <v>5</v>
      </c>
      <c r="B54">
        <v>533</v>
      </c>
      <c r="C54" t="s">
        <v>25</v>
      </c>
      <c r="D54" t="s">
        <v>115</v>
      </c>
      <c r="E54" t="s">
        <v>133</v>
      </c>
      <c r="F54">
        <v>950</v>
      </c>
      <c r="G54">
        <v>1100</v>
      </c>
      <c r="H54">
        <f t="shared" si="1"/>
        <v>150</v>
      </c>
      <c r="I54" t="s">
        <v>149</v>
      </c>
      <c r="J54" t="s">
        <v>152</v>
      </c>
      <c r="K54" t="s">
        <v>160</v>
      </c>
      <c r="L54" t="s">
        <v>166</v>
      </c>
      <c r="M54" t="s">
        <v>173</v>
      </c>
      <c r="N54" t="s">
        <v>176</v>
      </c>
      <c r="O54" t="s">
        <v>182</v>
      </c>
      <c r="P54">
        <v>52.407400000000003</v>
      </c>
      <c r="Q54">
        <v>16.937100000000001</v>
      </c>
    </row>
    <row r="55" spans="1:17">
      <c r="A55">
        <v>46</v>
      </c>
      <c r="B55">
        <v>995</v>
      </c>
      <c r="C55" t="s">
        <v>65</v>
      </c>
      <c r="D55" t="s">
        <v>112</v>
      </c>
      <c r="E55" t="s">
        <v>130</v>
      </c>
      <c r="F55">
        <v>1350</v>
      </c>
      <c r="G55">
        <v>1500</v>
      </c>
      <c r="H55">
        <f t="shared" si="1"/>
        <v>150</v>
      </c>
      <c r="I55" t="s">
        <v>149</v>
      </c>
      <c r="J55" t="s">
        <v>152</v>
      </c>
      <c r="K55" t="s">
        <v>160</v>
      </c>
      <c r="L55" t="s">
        <v>166</v>
      </c>
      <c r="M55" t="s">
        <v>172</v>
      </c>
      <c r="N55" t="s">
        <v>177</v>
      </c>
      <c r="O55" t="s">
        <v>182</v>
      </c>
      <c r="P55">
        <v>54.680517000000002</v>
      </c>
      <c r="Q55">
        <v>25.290814000000001</v>
      </c>
    </row>
    <row r="56" spans="1:17">
      <c r="A56">
        <v>230</v>
      </c>
      <c r="B56">
        <v>603</v>
      </c>
      <c r="C56" t="s">
        <v>67</v>
      </c>
      <c r="D56" t="s">
        <v>114</v>
      </c>
      <c r="E56" t="s">
        <v>132</v>
      </c>
      <c r="F56">
        <v>623</v>
      </c>
      <c r="G56">
        <v>773</v>
      </c>
      <c r="H56">
        <f t="shared" si="1"/>
        <v>150</v>
      </c>
      <c r="I56" t="s">
        <v>145</v>
      </c>
      <c r="J56" t="s">
        <v>153</v>
      </c>
      <c r="K56" t="s">
        <v>161</v>
      </c>
      <c r="L56" t="s">
        <v>161</v>
      </c>
      <c r="M56" t="s">
        <v>173</v>
      </c>
      <c r="N56" t="s">
        <v>175</v>
      </c>
      <c r="O56" t="s">
        <v>180</v>
      </c>
      <c r="P56">
        <v>48.111750000000001</v>
      </c>
      <c r="Q56">
        <v>16.463346999999999</v>
      </c>
    </row>
    <row r="57" spans="1:17">
      <c r="A57">
        <v>143</v>
      </c>
      <c r="B57">
        <v>120</v>
      </c>
      <c r="C57" t="s">
        <v>6</v>
      </c>
      <c r="D57" t="s">
        <v>110</v>
      </c>
      <c r="E57" t="s">
        <v>128</v>
      </c>
      <c r="F57">
        <v>1450</v>
      </c>
      <c r="G57">
        <v>1650</v>
      </c>
      <c r="H57">
        <f t="shared" si="1"/>
        <v>200</v>
      </c>
      <c r="I57" t="s">
        <v>146</v>
      </c>
      <c r="J57" t="s">
        <v>153</v>
      </c>
      <c r="K57" t="s">
        <v>161</v>
      </c>
      <c r="L57" t="s">
        <v>161</v>
      </c>
      <c r="M57" t="s">
        <v>170</v>
      </c>
      <c r="N57" t="s">
        <v>175</v>
      </c>
      <c r="O57" t="s">
        <v>180</v>
      </c>
      <c r="P57">
        <v>47.668999999999997</v>
      </c>
      <c r="Q57">
        <v>22.509799999999998</v>
      </c>
    </row>
    <row r="58" spans="1:17">
      <c r="A58">
        <v>16</v>
      </c>
      <c r="B58">
        <v>141</v>
      </c>
      <c r="C58" t="s">
        <v>12</v>
      </c>
      <c r="D58" t="s">
        <v>112</v>
      </c>
      <c r="E58" t="s">
        <v>130</v>
      </c>
      <c r="F58">
        <v>1550</v>
      </c>
      <c r="G58">
        <v>1750</v>
      </c>
      <c r="H58">
        <f t="shared" si="1"/>
        <v>200</v>
      </c>
      <c r="I58" t="s">
        <v>146</v>
      </c>
      <c r="J58" t="s">
        <v>155</v>
      </c>
      <c r="K58" t="s">
        <v>163</v>
      </c>
      <c r="L58" t="s">
        <v>166</v>
      </c>
      <c r="M58" t="s">
        <v>169</v>
      </c>
      <c r="N58" t="s">
        <v>176</v>
      </c>
      <c r="O58" t="s">
        <v>182</v>
      </c>
      <c r="P58">
        <v>54.683100000000003</v>
      </c>
      <c r="Q58">
        <v>25.293900000000001</v>
      </c>
    </row>
    <row r="59" spans="1:17">
      <c r="A59">
        <v>155</v>
      </c>
      <c r="B59">
        <v>211</v>
      </c>
      <c r="C59" t="s">
        <v>18</v>
      </c>
      <c r="D59" t="s">
        <v>112</v>
      </c>
      <c r="E59" t="s">
        <v>130</v>
      </c>
      <c r="F59">
        <v>1150</v>
      </c>
      <c r="G59">
        <v>1350</v>
      </c>
      <c r="H59">
        <f t="shared" si="1"/>
        <v>200</v>
      </c>
      <c r="I59" t="s">
        <v>149</v>
      </c>
      <c r="J59" t="s">
        <v>152</v>
      </c>
      <c r="K59" t="s">
        <v>159</v>
      </c>
      <c r="L59" t="s">
        <v>161</v>
      </c>
      <c r="M59" t="s">
        <v>169</v>
      </c>
      <c r="N59" t="s">
        <v>177</v>
      </c>
      <c r="O59" t="s">
        <v>182</v>
      </c>
      <c r="P59">
        <v>54.880555999999999</v>
      </c>
      <c r="Q59">
        <v>24.860555999999999</v>
      </c>
    </row>
    <row r="60" spans="1:17">
      <c r="A60">
        <v>57</v>
      </c>
      <c r="B60">
        <v>267</v>
      </c>
      <c r="C60" t="s">
        <v>21</v>
      </c>
      <c r="D60" t="s">
        <v>112</v>
      </c>
      <c r="E60" t="s">
        <v>130</v>
      </c>
      <c r="F60">
        <v>1450</v>
      </c>
      <c r="G60">
        <v>1650</v>
      </c>
      <c r="H60">
        <f t="shared" si="1"/>
        <v>200</v>
      </c>
      <c r="I60" t="s">
        <v>146</v>
      </c>
      <c r="J60" t="s">
        <v>153</v>
      </c>
      <c r="K60" t="s">
        <v>161</v>
      </c>
      <c r="L60" t="s">
        <v>161</v>
      </c>
      <c r="M60" t="s">
        <v>173</v>
      </c>
      <c r="N60" t="s">
        <v>175</v>
      </c>
      <c r="O60" t="s">
        <v>182</v>
      </c>
      <c r="P60">
        <v>54.098889</v>
      </c>
      <c r="Q60">
        <v>23.848610999999998</v>
      </c>
    </row>
    <row r="61" spans="1:17">
      <c r="A61">
        <v>77</v>
      </c>
      <c r="B61">
        <v>477</v>
      </c>
      <c r="C61" t="s">
        <v>22</v>
      </c>
      <c r="D61" t="s">
        <v>112</v>
      </c>
      <c r="E61" t="s">
        <v>130</v>
      </c>
      <c r="F61">
        <v>1450</v>
      </c>
      <c r="G61">
        <v>1650</v>
      </c>
      <c r="H61">
        <f t="shared" si="1"/>
        <v>200</v>
      </c>
      <c r="I61" t="s">
        <v>147</v>
      </c>
      <c r="J61" t="s">
        <v>153</v>
      </c>
      <c r="K61" t="s">
        <v>161</v>
      </c>
      <c r="L61" t="s">
        <v>161</v>
      </c>
      <c r="M61" t="s">
        <v>172</v>
      </c>
      <c r="N61" t="s">
        <v>175</v>
      </c>
      <c r="O61" t="s">
        <v>182</v>
      </c>
      <c r="P61">
        <v>55.591900000000003</v>
      </c>
      <c r="Q61">
        <v>25.730699999999999</v>
      </c>
    </row>
    <row r="62" spans="1:17">
      <c r="A62">
        <v>253</v>
      </c>
      <c r="B62">
        <v>463</v>
      </c>
      <c r="C62" t="s">
        <v>23</v>
      </c>
      <c r="D62" t="s">
        <v>115</v>
      </c>
      <c r="E62" t="s">
        <v>133</v>
      </c>
      <c r="F62">
        <v>1050</v>
      </c>
      <c r="G62">
        <v>1250</v>
      </c>
      <c r="H62">
        <f t="shared" si="1"/>
        <v>200</v>
      </c>
      <c r="I62" t="s">
        <v>149</v>
      </c>
      <c r="J62" t="s">
        <v>153</v>
      </c>
      <c r="K62" t="s">
        <v>161</v>
      </c>
      <c r="L62" t="s">
        <v>161</v>
      </c>
      <c r="M62" t="s">
        <v>169</v>
      </c>
      <c r="N62" t="s">
        <v>176</v>
      </c>
      <c r="O62" t="s">
        <v>182</v>
      </c>
      <c r="P62">
        <v>53.349694</v>
      </c>
      <c r="Q62">
        <v>18.313186000000002</v>
      </c>
    </row>
    <row r="63" spans="1:17">
      <c r="A63">
        <v>342</v>
      </c>
      <c r="B63">
        <v>456</v>
      </c>
      <c r="C63" t="s">
        <v>28</v>
      </c>
      <c r="D63" t="s">
        <v>116</v>
      </c>
      <c r="E63" t="s">
        <v>134</v>
      </c>
      <c r="F63">
        <v>1400</v>
      </c>
      <c r="G63">
        <v>1600</v>
      </c>
      <c r="H63">
        <f t="shared" si="1"/>
        <v>200</v>
      </c>
      <c r="I63" t="s">
        <v>146</v>
      </c>
      <c r="J63" t="s">
        <v>157</v>
      </c>
      <c r="K63" t="s">
        <v>160</v>
      </c>
      <c r="L63" t="s">
        <v>166</v>
      </c>
      <c r="M63" t="s">
        <v>173</v>
      </c>
      <c r="N63" t="s">
        <v>177</v>
      </c>
      <c r="O63" t="s">
        <v>180</v>
      </c>
      <c r="P63">
        <v>49.016848000000003</v>
      </c>
      <c r="Q63">
        <v>12.106354</v>
      </c>
    </row>
    <row r="64" spans="1:17">
      <c r="A64">
        <v>601</v>
      </c>
      <c r="B64">
        <v>484</v>
      </c>
      <c r="C64" t="s">
        <v>29</v>
      </c>
      <c r="D64" t="s">
        <v>115</v>
      </c>
      <c r="E64" t="s">
        <v>133</v>
      </c>
      <c r="F64">
        <v>950</v>
      </c>
      <c r="G64">
        <v>1150</v>
      </c>
      <c r="H64">
        <f t="shared" si="1"/>
        <v>200</v>
      </c>
      <c r="I64" t="s">
        <v>149</v>
      </c>
      <c r="J64" t="s">
        <v>153</v>
      </c>
      <c r="K64" t="s">
        <v>159</v>
      </c>
      <c r="L64" t="s">
        <v>161</v>
      </c>
      <c r="M64" t="s">
        <v>169</v>
      </c>
      <c r="N64" t="s">
        <v>176</v>
      </c>
      <c r="O64" t="s">
        <v>182</v>
      </c>
      <c r="P64">
        <v>53.321958000000002</v>
      </c>
      <c r="Q64">
        <v>18.399543999999999</v>
      </c>
    </row>
    <row r="65" spans="1:17">
      <c r="A65">
        <v>382</v>
      </c>
      <c r="B65">
        <v>764</v>
      </c>
      <c r="C65" t="s">
        <v>38</v>
      </c>
      <c r="D65" t="s">
        <v>117</v>
      </c>
      <c r="E65" t="s">
        <v>135</v>
      </c>
      <c r="F65">
        <v>1100</v>
      </c>
      <c r="G65">
        <v>1300</v>
      </c>
      <c r="H65">
        <f t="shared" si="1"/>
        <v>200</v>
      </c>
      <c r="I65" t="s">
        <v>149</v>
      </c>
      <c r="J65" t="s">
        <v>153</v>
      </c>
      <c r="K65" t="s">
        <v>160</v>
      </c>
      <c r="L65" t="s">
        <v>166</v>
      </c>
      <c r="M65" t="s">
        <v>171</v>
      </c>
      <c r="N65" t="s">
        <v>176</v>
      </c>
      <c r="O65" t="s">
        <v>182</v>
      </c>
      <c r="P65">
        <v>59.615099999999998</v>
      </c>
      <c r="Q65">
        <v>17.719000000000001</v>
      </c>
    </row>
    <row r="66" spans="1:17">
      <c r="A66">
        <v>255</v>
      </c>
      <c r="B66">
        <v>778</v>
      </c>
      <c r="C66" t="s">
        <v>42</v>
      </c>
      <c r="D66" t="s">
        <v>116</v>
      </c>
      <c r="E66" t="s">
        <v>134</v>
      </c>
      <c r="F66">
        <v>700</v>
      </c>
      <c r="G66">
        <v>900</v>
      </c>
      <c r="H66">
        <f t="shared" ref="H66:H97" si="2">G66-F66</f>
        <v>200</v>
      </c>
      <c r="I66" t="s">
        <v>145</v>
      </c>
      <c r="J66" t="s">
        <v>153</v>
      </c>
      <c r="K66" t="s">
        <v>161</v>
      </c>
      <c r="L66" t="s">
        <v>161</v>
      </c>
      <c r="M66" t="s">
        <v>173</v>
      </c>
      <c r="N66" t="s">
        <v>177</v>
      </c>
      <c r="O66" t="s">
        <v>180</v>
      </c>
      <c r="P66">
        <v>48.066699999999997</v>
      </c>
      <c r="Q66">
        <v>10.8</v>
      </c>
    </row>
    <row r="67" spans="1:17">
      <c r="A67">
        <v>217</v>
      </c>
      <c r="B67">
        <v>596</v>
      </c>
      <c r="C67" t="s">
        <v>43</v>
      </c>
      <c r="D67" t="s">
        <v>114</v>
      </c>
      <c r="E67" t="s">
        <v>132</v>
      </c>
      <c r="F67">
        <v>600</v>
      </c>
      <c r="G67">
        <v>800</v>
      </c>
      <c r="H67">
        <f t="shared" si="2"/>
        <v>200</v>
      </c>
      <c r="I67" t="s">
        <v>145</v>
      </c>
      <c r="J67" t="s">
        <v>152</v>
      </c>
      <c r="K67" t="s">
        <v>161</v>
      </c>
      <c r="L67" t="s">
        <v>161</v>
      </c>
      <c r="M67" t="s">
        <v>172</v>
      </c>
      <c r="N67" t="s">
        <v>175</v>
      </c>
      <c r="O67" t="s">
        <v>180</v>
      </c>
      <c r="P67">
        <v>48.594338999999998</v>
      </c>
      <c r="Q67">
        <v>15.65635</v>
      </c>
    </row>
    <row r="68" spans="1:17">
      <c r="A68">
        <v>223</v>
      </c>
      <c r="B68">
        <v>666</v>
      </c>
      <c r="C68" t="s">
        <v>64</v>
      </c>
      <c r="D68" t="s">
        <v>108</v>
      </c>
      <c r="E68" t="s">
        <v>126</v>
      </c>
      <c r="F68">
        <v>1100</v>
      </c>
      <c r="G68">
        <v>1300</v>
      </c>
      <c r="H68">
        <f t="shared" si="2"/>
        <v>200</v>
      </c>
      <c r="I68" t="s">
        <v>149</v>
      </c>
      <c r="J68" t="s">
        <v>153</v>
      </c>
      <c r="K68" t="s">
        <v>159</v>
      </c>
      <c r="L68" t="s">
        <v>161</v>
      </c>
      <c r="M68" t="s">
        <v>170</v>
      </c>
      <c r="N68" t="s">
        <v>176</v>
      </c>
      <c r="O68" t="s">
        <v>180</v>
      </c>
      <c r="P68">
        <v>46.169037000000003</v>
      </c>
      <c r="Q68">
        <v>20.713270999999999</v>
      </c>
    </row>
    <row r="69" spans="1:17">
      <c r="A69">
        <v>43</v>
      </c>
      <c r="B69">
        <v>988</v>
      </c>
      <c r="C69" t="s">
        <v>66</v>
      </c>
      <c r="D69" t="s">
        <v>119</v>
      </c>
      <c r="E69" t="s">
        <v>137</v>
      </c>
      <c r="F69">
        <v>1200</v>
      </c>
      <c r="G69">
        <v>1400</v>
      </c>
      <c r="H69">
        <f t="shared" si="2"/>
        <v>200</v>
      </c>
      <c r="I69" t="s">
        <v>147</v>
      </c>
      <c r="J69" t="s">
        <v>152</v>
      </c>
      <c r="K69" t="s">
        <v>162</v>
      </c>
      <c r="L69" t="s">
        <v>167</v>
      </c>
      <c r="M69" t="s">
        <v>172</v>
      </c>
      <c r="N69" t="s">
        <v>175</v>
      </c>
      <c r="O69" t="s">
        <v>181</v>
      </c>
      <c r="P69">
        <v>40.209099999999999</v>
      </c>
      <c r="Q69">
        <v>-8.4251640000000005</v>
      </c>
    </row>
    <row r="70" spans="1:17">
      <c r="A70">
        <v>27</v>
      </c>
      <c r="B70">
        <v>862</v>
      </c>
      <c r="C70" t="s">
        <v>73</v>
      </c>
      <c r="D70" t="s">
        <v>109</v>
      </c>
      <c r="E70" t="s">
        <v>127</v>
      </c>
      <c r="F70">
        <v>900</v>
      </c>
      <c r="G70">
        <v>1100</v>
      </c>
      <c r="H70">
        <f t="shared" si="2"/>
        <v>200</v>
      </c>
      <c r="I70" t="s">
        <v>145</v>
      </c>
      <c r="J70" t="s">
        <v>153</v>
      </c>
      <c r="K70" t="s">
        <v>159</v>
      </c>
      <c r="L70" t="s">
        <v>161</v>
      </c>
      <c r="M70" t="s">
        <v>173</v>
      </c>
      <c r="N70" t="s">
        <v>175</v>
      </c>
      <c r="O70" t="s">
        <v>181</v>
      </c>
      <c r="P70">
        <v>38.250328000000003</v>
      </c>
      <c r="Q70">
        <v>23.074936000000001</v>
      </c>
    </row>
    <row r="71" spans="1:17">
      <c r="A71">
        <v>83</v>
      </c>
      <c r="B71">
        <v>918</v>
      </c>
      <c r="C71" t="s">
        <v>76</v>
      </c>
      <c r="D71" t="s">
        <v>114</v>
      </c>
      <c r="E71" t="s">
        <v>132</v>
      </c>
      <c r="F71">
        <v>500</v>
      </c>
      <c r="G71">
        <v>700</v>
      </c>
      <c r="H71">
        <f t="shared" si="2"/>
        <v>200</v>
      </c>
      <c r="I71" t="s">
        <v>145</v>
      </c>
      <c r="J71" t="s">
        <v>153</v>
      </c>
      <c r="K71" t="s">
        <v>161</v>
      </c>
      <c r="L71" t="s">
        <v>161</v>
      </c>
      <c r="M71" t="s">
        <v>169</v>
      </c>
      <c r="N71" t="s">
        <v>177</v>
      </c>
      <c r="O71" t="s">
        <v>180</v>
      </c>
      <c r="P71">
        <v>47.281557999999997</v>
      </c>
      <c r="Q71">
        <v>11.56517</v>
      </c>
    </row>
    <row r="72" spans="1:17">
      <c r="A72">
        <v>58</v>
      </c>
      <c r="B72">
        <v>1107</v>
      </c>
      <c r="C72" t="s">
        <v>85</v>
      </c>
      <c r="D72" t="s">
        <v>112</v>
      </c>
      <c r="E72" t="s">
        <v>130</v>
      </c>
      <c r="F72">
        <v>1450</v>
      </c>
      <c r="G72">
        <v>1650</v>
      </c>
      <c r="H72">
        <f t="shared" si="2"/>
        <v>200</v>
      </c>
      <c r="I72" t="s">
        <v>147</v>
      </c>
      <c r="J72" t="s">
        <v>153</v>
      </c>
      <c r="K72" t="s">
        <v>161</v>
      </c>
      <c r="L72" t="s">
        <v>161</v>
      </c>
      <c r="M72" t="s">
        <v>172</v>
      </c>
      <c r="N72" t="s">
        <v>175</v>
      </c>
      <c r="O72" t="s">
        <v>182</v>
      </c>
      <c r="P72">
        <v>55.058100000000003</v>
      </c>
      <c r="Q72">
        <v>25.445900000000002</v>
      </c>
    </row>
    <row r="73" spans="1:17">
      <c r="A73">
        <v>94</v>
      </c>
      <c r="B73">
        <v>1212</v>
      </c>
      <c r="C73" t="s">
        <v>91</v>
      </c>
      <c r="D73" t="s">
        <v>121</v>
      </c>
      <c r="E73" t="s">
        <v>139</v>
      </c>
      <c r="F73">
        <v>900</v>
      </c>
      <c r="G73">
        <v>1100</v>
      </c>
      <c r="H73">
        <f t="shared" si="2"/>
        <v>200</v>
      </c>
      <c r="I73" t="s">
        <v>145</v>
      </c>
      <c r="J73" t="s">
        <v>153</v>
      </c>
      <c r="K73" t="s">
        <v>161</v>
      </c>
      <c r="L73" t="s">
        <v>161</v>
      </c>
      <c r="M73" t="s">
        <v>169</v>
      </c>
      <c r="N73" t="s">
        <v>175</v>
      </c>
      <c r="O73" t="s">
        <v>180</v>
      </c>
      <c r="P73">
        <v>50.437230999999997</v>
      </c>
      <c r="Q73">
        <v>30.544080999999998</v>
      </c>
    </row>
    <row r="74" spans="1:17">
      <c r="A74">
        <v>58</v>
      </c>
      <c r="B74">
        <v>1205</v>
      </c>
      <c r="C74" t="s">
        <v>97</v>
      </c>
      <c r="D74" t="s">
        <v>112</v>
      </c>
      <c r="E74" t="s">
        <v>130</v>
      </c>
      <c r="F74">
        <v>1450</v>
      </c>
      <c r="G74">
        <v>1650</v>
      </c>
      <c r="H74">
        <f t="shared" si="2"/>
        <v>200</v>
      </c>
      <c r="I74" t="s">
        <v>147</v>
      </c>
      <c r="J74" t="s">
        <v>152</v>
      </c>
      <c r="K74" t="s">
        <v>160</v>
      </c>
      <c r="L74" t="s">
        <v>166</v>
      </c>
      <c r="M74" t="s">
        <v>173</v>
      </c>
      <c r="N74" t="s">
        <v>176</v>
      </c>
      <c r="O74" t="s">
        <v>182</v>
      </c>
      <c r="P74">
        <v>54.404400000000003</v>
      </c>
      <c r="Q74">
        <v>24.058299999999999</v>
      </c>
    </row>
    <row r="75" spans="1:17">
      <c r="A75">
        <v>171</v>
      </c>
      <c r="B75">
        <v>1002</v>
      </c>
      <c r="C75" t="s">
        <v>68</v>
      </c>
      <c r="D75" t="s">
        <v>112</v>
      </c>
      <c r="E75" t="s">
        <v>130</v>
      </c>
      <c r="F75">
        <v>1530</v>
      </c>
      <c r="G75">
        <v>1750</v>
      </c>
      <c r="H75">
        <f t="shared" si="2"/>
        <v>220</v>
      </c>
      <c r="I75" t="s">
        <v>146</v>
      </c>
      <c r="J75" t="s">
        <v>152</v>
      </c>
      <c r="K75" t="s">
        <v>163</v>
      </c>
      <c r="L75" t="s">
        <v>166</v>
      </c>
      <c r="M75" t="s">
        <v>171</v>
      </c>
      <c r="N75" t="s">
        <v>176</v>
      </c>
      <c r="O75" t="s">
        <v>182</v>
      </c>
      <c r="P75">
        <v>55.710299999999997</v>
      </c>
      <c r="Q75">
        <v>21.1371</v>
      </c>
    </row>
    <row r="76" spans="1:17">
      <c r="A76">
        <v>1259</v>
      </c>
      <c r="B76">
        <v>470</v>
      </c>
      <c r="C76" t="s">
        <v>45</v>
      </c>
      <c r="D76" t="s">
        <v>116</v>
      </c>
      <c r="E76" t="s">
        <v>134</v>
      </c>
      <c r="F76">
        <v>450</v>
      </c>
      <c r="G76">
        <v>680</v>
      </c>
      <c r="H76">
        <f t="shared" si="2"/>
        <v>230</v>
      </c>
      <c r="I76" t="s">
        <v>145</v>
      </c>
      <c r="J76" t="s">
        <v>153</v>
      </c>
      <c r="K76" t="s">
        <v>161</v>
      </c>
      <c r="L76" t="s">
        <v>161</v>
      </c>
      <c r="M76" t="s">
        <v>172</v>
      </c>
      <c r="N76" t="s">
        <v>177</v>
      </c>
      <c r="O76" t="s">
        <v>180</v>
      </c>
      <c r="P76">
        <v>48.871400000000001</v>
      </c>
      <c r="Q76">
        <v>10.232799999999999</v>
      </c>
    </row>
    <row r="77" spans="1:17">
      <c r="A77">
        <v>155</v>
      </c>
      <c r="B77">
        <v>134</v>
      </c>
      <c r="C77" t="s">
        <v>7</v>
      </c>
      <c r="D77" t="s">
        <v>111</v>
      </c>
      <c r="E77" t="s">
        <v>129</v>
      </c>
      <c r="F77">
        <v>1296</v>
      </c>
      <c r="G77">
        <v>1535</v>
      </c>
      <c r="H77">
        <f t="shared" si="2"/>
        <v>239</v>
      </c>
      <c r="I77" t="s">
        <v>147</v>
      </c>
      <c r="J77" t="s">
        <v>154</v>
      </c>
      <c r="K77" t="s">
        <v>160</v>
      </c>
      <c r="L77" t="s">
        <v>166</v>
      </c>
      <c r="M77" t="s">
        <v>170</v>
      </c>
      <c r="N77" t="s">
        <v>176</v>
      </c>
      <c r="O77" t="s">
        <v>179</v>
      </c>
      <c r="P77">
        <v>51.591099999999997</v>
      </c>
      <c r="Q77">
        <v>4.7786099999999996</v>
      </c>
    </row>
    <row r="78" spans="1:17">
      <c r="A78">
        <v>73</v>
      </c>
      <c r="B78">
        <v>855</v>
      </c>
      <c r="C78" t="s">
        <v>51</v>
      </c>
      <c r="D78" t="s">
        <v>119</v>
      </c>
      <c r="E78" t="s">
        <v>137</v>
      </c>
      <c r="F78">
        <v>1490</v>
      </c>
      <c r="G78">
        <v>1730</v>
      </c>
      <c r="H78">
        <f t="shared" si="2"/>
        <v>240</v>
      </c>
      <c r="I78" t="s">
        <v>146</v>
      </c>
      <c r="J78" t="s">
        <v>154</v>
      </c>
      <c r="K78" t="s">
        <v>159</v>
      </c>
      <c r="L78" t="s">
        <v>161</v>
      </c>
      <c r="M78" t="s">
        <v>169</v>
      </c>
      <c r="N78" t="s">
        <v>176</v>
      </c>
      <c r="O78" t="s">
        <v>181</v>
      </c>
      <c r="P78">
        <v>40.202199999999998</v>
      </c>
      <c r="Q78">
        <v>-8.4328029999999998</v>
      </c>
    </row>
    <row r="79" spans="1:17">
      <c r="A79">
        <v>230</v>
      </c>
      <c r="B79">
        <v>911</v>
      </c>
      <c r="C79" t="s">
        <v>56</v>
      </c>
      <c r="D79" t="s">
        <v>116</v>
      </c>
      <c r="E79" t="s">
        <v>134</v>
      </c>
      <c r="F79">
        <v>450</v>
      </c>
      <c r="G79">
        <v>700</v>
      </c>
      <c r="H79">
        <f t="shared" si="2"/>
        <v>250</v>
      </c>
      <c r="I79" t="s">
        <v>145</v>
      </c>
      <c r="J79" t="s">
        <v>153</v>
      </c>
      <c r="K79" t="s">
        <v>161</v>
      </c>
      <c r="L79" t="s">
        <v>161</v>
      </c>
      <c r="M79" t="s">
        <v>173</v>
      </c>
      <c r="N79" t="s">
        <v>175</v>
      </c>
      <c r="O79" t="s">
        <v>179</v>
      </c>
      <c r="P79">
        <v>49.883299999999998</v>
      </c>
      <c r="Q79">
        <v>9.0333000000000006</v>
      </c>
    </row>
    <row r="80" spans="1:17">
      <c r="A80">
        <v>333</v>
      </c>
      <c r="B80">
        <v>1100</v>
      </c>
      <c r="C80" t="s">
        <v>82</v>
      </c>
      <c r="D80" t="s">
        <v>113</v>
      </c>
      <c r="E80" t="s">
        <v>131</v>
      </c>
      <c r="F80">
        <v>1600</v>
      </c>
      <c r="G80">
        <v>1850</v>
      </c>
      <c r="H80">
        <f t="shared" si="2"/>
        <v>250</v>
      </c>
      <c r="I80" t="s">
        <v>146</v>
      </c>
      <c r="J80" t="s">
        <v>152</v>
      </c>
      <c r="K80" t="s">
        <v>164</v>
      </c>
      <c r="L80" t="s">
        <v>167</v>
      </c>
      <c r="M80" t="s">
        <v>170</v>
      </c>
      <c r="N80" t="s">
        <v>176</v>
      </c>
      <c r="O80" t="s">
        <v>179</v>
      </c>
      <c r="P80">
        <v>51.524799999999999</v>
      </c>
      <c r="Q80">
        <v>-0.106914</v>
      </c>
    </row>
    <row r="81" spans="1:17">
      <c r="A81">
        <v>44</v>
      </c>
      <c r="B81">
        <v>1184</v>
      </c>
      <c r="C81" t="s">
        <v>90</v>
      </c>
      <c r="D81" t="s">
        <v>119</v>
      </c>
      <c r="E81" t="s">
        <v>137</v>
      </c>
      <c r="F81">
        <v>1450</v>
      </c>
      <c r="G81">
        <v>1700</v>
      </c>
      <c r="H81">
        <f t="shared" si="2"/>
        <v>250</v>
      </c>
      <c r="I81" t="s">
        <v>146</v>
      </c>
      <c r="J81" t="s">
        <v>152</v>
      </c>
      <c r="K81" t="s">
        <v>160</v>
      </c>
      <c r="L81" t="s">
        <v>166</v>
      </c>
      <c r="M81" t="s">
        <v>169</v>
      </c>
      <c r="N81" t="s">
        <v>176</v>
      </c>
      <c r="O81" t="s">
        <v>181</v>
      </c>
      <c r="P81">
        <v>38.711987000000001</v>
      </c>
      <c r="Q81">
        <v>-9.1407500000000006</v>
      </c>
    </row>
    <row r="82" spans="1:17">
      <c r="A82">
        <v>57</v>
      </c>
      <c r="B82">
        <v>1254</v>
      </c>
      <c r="C82" t="s">
        <v>92</v>
      </c>
      <c r="D82" t="s">
        <v>119</v>
      </c>
      <c r="E82" t="s">
        <v>137</v>
      </c>
      <c r="F82">
        <v>1600</v>
      </c>
      <c r="G82">
        <v>1850</v>
      </c>
      <c r="H82">
        <f t="shared" si="2"/>
        <v>250</v>
      </c>
      <c r="I82" t="s">
        <v>146</v>
      </c>
      <c r="J82" t="s">
        <v>153</v>
      </c>
      <c r="K82" t="s">
        <v>160</v>
      </c>
      <c r="L82" t="s">
        <v>166</v>
      </c>
      <c r="M82" t="s">
        <v>173</v>
      </c>
      <c r="N82" t="s">
        <v>175</v>
      </c>
      <c r="O82" t="s">
        <v>181</v>
      </c>
      <c r="P82">
        <v>38.569592999999998</v>
      </c>
      <c r="Q82">
        <v>-7.9154039999999997</v>
      </c>
    </row>
    <row r="83" spans="1:17">
      <c r="A83">
        <v>156</v>
      </c>
      <c r="B83">
        <v>344</v>
      </c>
      <c r="C83" t="s">
        <v>17</v>
      </c>
      <c r="D83" t="s">
        <v>113</v>
      </c>
      <c r="E83" t="s">
        <v>131</v>
      </c>
      <c r="F83">
        <v>140</v>
      </c>
      <c r="G83">
        <v>410</v>
      </c>
      <c r="H83">
        <f t="shared" si="2"/>
        <v>270</v>
      </c>
      <c r="I83" t="s">
        <v>148</v>
      </c>
      <c r="J83" t="s">
        <v>152</v>
      </c>
      <c r="K83" t="s">
        <v>160</v>
      </c>
      <c r="L83" t="s">
        <v>166</v>
      </c>
      <c r="M83" t="s">
        <v>169</v>
      </c>
      <c r="N83" t="s">
        <v>176</v>
      </c>
      <c r="O83" t="s">
        <v>179</v>
      </c>
      <c r="P83">
        <v>53.949603000000003</v>
      </c>
      <c r="Q83">
        <v>-1.0974170000000001</v>
      </c>
    </row>
    <row r="84" spans="1:17">
      <c r="A84">
        <v>111</v>
      </c>
      <c r="B84">
        <v>1247</v>
      </c>
      <c r="C84" t="s">
        <v>98</v>
      </c>
      <c r="D84" t="s">
        <v>116</v>
      </c>
      <c r="E84" t="s">
        <v>134</v>
      </c>
      <c r="F84">
        <v>1600</v>
      </c>
      <c r="G84">
        <v>1870</v>
      </c>
      <c r="H84">
        <f t="shared" si="2"/>
        <v>270</v>
      </c>
      <c r="I84" t="s">
        <v>146</v>
      </c>
      <c r="J84" t="s">
        <v>153</v>
      </c>
      <c r="K84" t="s">
        <v>160</v>
      </c>
      <c r="L84" t="s">
        <v>166</v>
      </c>
      <c r="M84" t="s">
        <v>173</v>
      </c>
      <c r="N84" t="s">
        <v>177</v>
      </c>
      <c r="O84" t="s">
        <v>179</v>
      </c>
      <c r="P84">
        <v>50.876435000000001</v>
      </c>
      <c r="Q84">
        <v>6.3651710000000001</v>
      </c>
    </row>
    <row r="85" spans="1:17">
      <c r="A85">
        <v>99</v>
      </c>
      <c r="B85">
        <v>869</v>
      </c>
      <c r="C85" t="s">
        <v>58</v>
      </c>
      <c r="D85" t="s">
        <v>113</v>
      </c>
      <c r="E85" t="s">
        <v>131</v>
      </c>
      <c r="F85">
        <v>1246</v>
      </c>
      <c r="G85">
        <v>1539</v>
      </c>
      <c r="H85">
        <f t="shared" si="2"/>
        <v>293</v>
      </c>
      <c r="I85" t="s">
        <v>147</v>
      </c>
      <c r="J85" t="s">
        <v>154</v>
      </c>
      <c r="K85" t="s">
        <v>159</v>
      </c>
      <c r="L85" t="s">
        <v>161</v>
      </c>
      <c r="M85" t="s">
        <v>169</v>
      </c>
      <c r="N85" t="s">
        <v>176</v>
      </c>
      <c r="O85" t="s">
        <v>179</v>
      </c>
      <c r="P85">
        <v>51.864814000000003</v>
      </c>
      <c r="Q85">
        <v>-2.2497389999999999</v>
      </c>
    </row>
    <row r="86" spans="1:17">
      <c r="A86">
        <v>393</v>
      </c>
      <c r="B86">
        <v>582</v>
      </c>
      <c r="C86" t="s">
        <v>34</v>
      </c>
      <c r="D86" t="s">
        <v>107</v>
      </c>
      <c r="E86" t="s">
        <v>125</v>
      </c>
      <c r="F86">
        <v>1500</v>
      </c>
      <c r="G86">
        <v>1797</v>
      </c>
      <c r="H86">
        <f t="shared" si="2"/>
        <v>297</v>
      </c>
      <c r="I86" t="s">
        <v>146</v>
      </c>
      <c r="J86" t="s">
        <v>152</v>
      </c>
      <c r="K86" t="s">
        <v>160</v>
      </c>
      <c r="L86" t="s">
        <v>166</v>
      </c>
      <c r="M86" t="s">
        <v>169</v>
      </c>
      <c r="N86" t="s">
        <v>176</v>
      </c>
      <c r="O86" t="s">
        <v>179</v>
      </c>
      <c r="P86">
        <v>50.368899999999996</v>
      </c>
      <c r="Q86">
        <v>3.0755599999999998</v>
      </c>
    </row>
    <row r="87" spans="1:17">
      <c r="A87">
        <v>30</v>
      </c>
      <c r="B87">
        <v>190</v>
      </c>
      <c r="C87" t="s">
        <v>13</v>
      </c>
      <c r="D87" t="s">
        <v>112</v>
      </c>
      <c r="E87" t="s">
        <v>130</v>
      </c>
      <c r="F87">
        <v>1450</v>
      </c>
      <c r="G87">
        <v>1750</v>
      </c>
      <c r="H87">
        <f t="shared" si="2"/>
        <v>300</v>
      </c>
      <c r="I87" t="s">
        <v>146</v>
      </c>
      <c r="J87" t="s">
        <v>155</v>
      </c>
      <c r="K87" t="s">
        <v>162</v>
      </c>
      <c r="L87" t="s">
        <v>167</v>
      </c>
      <c r="M87" t="s">
        <v>169</v>
      </c>
      <c r="N87" t="s">
        <v>177</v>
      </c>
      <c r="O87" t="s">
        <v>182</v>
      </c>
      <c r="P87">
        <v>54.685899999999997</v>
      </c>
      <c r="Q87">
        <v>25.2879</v>
      </c>
    </row>
    <row r="88" spans="1:17">
      <c r="A88">
        <v>90</v>
      </c>
      <c r="B88">
        <v>491</v>
      </c>
      <c r="C88" t="s">
        <v>24</v>
      </c>
      <c r="D88" t="s">
        <v>115</v>
      </c>
      <c r="E88" t="s">
        <v>133</v>
      </c>
      <c r="F88">
        <v>900</v>
      </c>
      <c r="G88">
        <v>1200</v>
      </c>
      <c r="H88">
        <f t="shared" si="2"/>
        <v>300</v>
      </c>
      <c r="I88" t="s">
        <v>149</v>
      </c>
      <c r="J88" t="s">
        <v>152</v>
      </c>
      <c r="K88" t="s">
        <v>160</v>
      </c>
      <c r="L88" t="s">
        <v>166</v>
      </c>
      <c r="M88" t="s">
        <v>173</v>
      </c>
      <c r="N88" t="s">
        <v>176</v>
      </c>
      <c r="O88" t="s">
        <v>182</v>
      </c>
      <c r="P88">
        <v>52.414400000000001</v>
      </c>
      <c r="Q88">
        <v>16.9556</v>
      </c>
    </row>
    <row r="89" spans="1:17">
      <c r="A89">
        <v>458</v>
      </c>
      <c r="B89">
        <v>757</v>
      </c>
      <c r="C89" t="s">
        <v>46</v>
      </c>
      <c r="D89" t="s">
        <v>113</v>
      </c>
      <c r="E89" t="s">
        <v>131</v>
      </c>
      <c r="F89">
        <v>650</v>
      </c>
      <c r="G89">
        <v>950</v>
      </c>
      <c r="H89">
        <f t="shared" si="2"/>
        <v>300</v>
      </c>
      <c r="I89" t="s">
        <v>145</v>
      </c>
      <c r="J89" t="s">
        <v>153</v>
      </c>
      <c r="K89" t="s">
        <v>161</v>
      </c>
      <c r="L89" t="s">
        <v>161</v>
      </c>
      <c r="M89" t="s">
        <v>169</v>
      </c>
      <c r="N89" t="s">
        <v>175</v>
      </c>
      <c r="O89" t="s">
        <v>179</v>
      </c>
      <c r="P89">
        <v>54.975999999999999</v>
      </c>
      <c r="Q89">
        <v>-1.6105100000000001</v>
      </c>
    </row>
    <row r="90" spans="1:17">
      <c r="A90">
        <v>94</v>
      </c>
      <c r="B90">
        <v>827</v>
      </c>
      <c r="C90" t="s">
        <v>52</v>
      </c>
      <c r="D90" t="s">
        <v>111</v>
      </c>
      <c r="E90" t="s">
        <v>129</v>
      </c>
      <c r="F90">
        <v>1250</v>
      </c>
      <c r="G90">
        <v>1550</v>
      </c>
      <c r="H90">
        <f t="shared" si="2"/>
        <v>300</v>
      </c>
      <c r="I90" t="s">
        <v>147</v>
      </c>
      <c r="J90" t="s">
        <v>154</v>
      </c>
      <c r="K90" t="s">
        <v>160</v>
      </c>
      <c r="L90" t="s">
        <v>166</v>
      </c>
      <c r="M90" t="s">
        <v>170</v>
      </c>
      <c r="N90" t="s">
        <v>176</v>
      </c>
      <c r="O90" t="s">
        <v>179</v>
      </c>
      <c r="P90">
        <v>52.002110999999999</v>
      </c>
      <c r="Q90">
        <v>4.3643890000000001</v>
      </c>
    </row>
    <row r="91" spans="1:17">
      <c r="A91">
        <v>247</v>
      </c>
      <c r="B91">
        <v>785</v>
      </c>
      <c r="C91" t="s">
        <v>55</v>
      </c>
      <c r="D91" t="s">
        <v>112</v>
      </c>
      <c r="E91" t="s">
        <v>130</v>
      </c>
      <c r="F91">
        <v>350</v>
      </c>
      <c r="G91">
        <v>650</v>
      </c>
      <c r="H91">
        <f t="shared" si="2"/>
        <v>300</v>
      </c>
      <c r="I91" t="s">
        <v>148</v>
      </c>
      <c r="J91" t="s">
        <v>153</v>
      </c>
      <c r="K91" t="s">
        <v>161</v>
      </c>
      <c r="L91" t="s">
        <v>161</v>
      </c>
      <c r="M91" t="s">
        <v>172</v>
      </c>
      <c r="N91" t="s">
        <v>176</v>
      </c>
      <c r="O91" t="s">
        <v>182</v>
      </c>
      <c r="P91">
        <v>55.418300000000002</v>
      </c>
      <c r="Q91">
        <v>23.669899999999998</v>
      </c>
    </row>
    <row r="92" spans="1:17">
      <c r="A92">
        <v>76</v>
      </c>
      <c r="B92">
        <v>617</v>
      </c>
      <c r="C92" t="s">
        <v>59</v>
      </c>
      <c r="D92" t="s">
        <v>120</v>
      </c>
      <c r="E92" t="s">
        <v>138</v>
      </c>
      <c r="F92">
        <v>1500</v>
      </c>
      <c r="G92">
        <v>1800</v>
      </c>
      <c r="H92">
        <f t="shared" si="2"/>
        <v>300</v>
      </c>
      <c r="I92" t="s">
        <v>146</v>
      </c>
      <c r="J92" t="s">
        <v>152</v>
      </c>
      <c r="K92" t="s">
        <v>163</v>
      </c>
      <c r="L92" t="s">
        <v>166</v>
      </c>
      <c r="M92" t="s">
        <v>173</v>
      </c>
      <c r="N92" t="s">
        <v>175</v>
      </c>
      <c r="O92" t="s">
        <v>181</v>
      </c>
      <c r="P92">
        <v>35.165999999999997</v>
      </c>
      <c r="Q92">
        <v>33.356099999999998</v>
      </c>
    </row>
    <row r="93" spans="1:17">
      <c r="A93">
        <v>56</v>
      </c>
      <c r="B93">
        <v>953</v>
      </c>
      <c r="C93" t="s">
        <v>60</v>
      </c>
      <c r="D93" t="s">
        <v>121</v>
      </c>
      <c r="E93" t="s">
        <v>139</v>
      </c>
      <c r="F93">
        <v>900</v>
      </c>
      <c r="G93">
        <v>1200</v>
      </c>
      <c r="H93">
        <f t="shared" si="2"/>
        <v>300</v>
      </c>
      <c r="I93" t="s">
        <v>149</v>
      </c>
      <c r="J93" t="s">
        <v>152</v>
      </c>
      <c r="K93" t="s">
        <v>160</v>
      </c>
      <c r="L93" t="s">
        <v>166</v>
      </c>
      <c r="M93" t="s">
        <v>169</v>
      </c>
      <c r="N93" t="s">
        <v>175</v>
      </c>
      <c r="O93" t="s">
        <v>180</v>
      </c>
      <c r="P93">
        <v>50.450775</v>
      </c>
      <c r="Q93">
        <v>30.515408000000001</v>
      </c>
    </row>
    <row r="94" spans="1:17">
      <c r="A94">
        <v>39</v>
      </c>
      <c r="B94">
        <v>652</v>
      </c>
      <c r="C94" t="s">
        <v>71</v>
      </c>
      <c r="D94" t="s">
        <v>109</v>
      </c>
      <c r="E94" t="s">
        <v>127</v>
      </c>
      <c r="F94">
        <v>1000</v>
      </c>
      <c r="G94">
        <v>1300</v>
      </c>
      <c r="H94">
        <f t="shared" si="2"/>
        <v>300</v>
      </c>
      <c r="I94" t="s">
        <v>149</v>
      </c>
      <c r="J94" t="s">
        <v>153</v>
      </c>
      <c r="K94" t="s">
        <v>161</v>
      </c>
      <c r="L94" t="s">
        <v>161</v>
      </c>
      <c r="M94" t="s">
        <v>173</v>
      </c>
      <c r="N94" t="s">
        <v>175</v>
      </c>
      <c r="O94" t="s">
        <v>181</v>
      </c>
      <c r="P94">
        <v>37.944052999999997</v>
      </c>
      <c r="Q94">
        <v>23.943028000000002</v>
      </c>
    </row>
    <row r="95" spans="1:17">
      <c r="A95">
        <v>177</v>
      </c>
      <c r="B95">
        <v>1135</v>
      </c>
      <c r="C95" t="s">
        <v>87</v>
      </c>
      <c r="D95" t="s">
        <v>112</v>
      </c>
      <c r="E95" t="s">
        <v>130</v>
      </c>
      <c r="F95">
        <v>1350</v>
      </c>
      <c r="G95">
        <v>1650</v>
      </c>
      <c r="H95">
        <f t="shared" si="2"/>
        <v>300</v>
      </c>
      <c r="I95" t="s">
        <v>147</v>
      </c>
      <c r="J95" t="s">
        <v>153</v>
      </c>
      <c r="K95" t="s">
        <v>161</v>
      </c>
      <c r="L95" t="s">
        <v>161</v>
      </c>
      <c r="M95" t="s">
        <v>172</v>
      </c>
      <c r="N95" t="s">
        <v>175</v>
      </c>
      <c r="O95" t="s">
        <v>182</v>
      </c>
      <c r="P95">
        <v>54.884399999999999</v>
      </c>
      <c r="Q95">
        <v>24.852450000000001</v>
      </c>
    </row>
    <row r="96" spans="1:17">
      <c r="A96">
        <v>110</v>
      </c>
      <c r="B96">
        <v>1149</v>
      </c>
      <c r="C96" t="s">
        <v>96</v>
      </c>
      <c r="D96" t="s">
        <v>119</v>
      </c>
      <c r="E96" t="s">
        <v>137</v>
      </c>
      <c r="F96">
        <v>1400</v>
      </c>
      <c r="G96">
        <v>1700</v>
      </c>
      <c r="H96">
        <f t="shared" si="2"/>
        <v>300</v>
      </c>
      <c r="I96" t="s">
        <v>147</v>
      </c>
      <c r="J96" t="s">
        <v>153</v>
      </c>
      <c r="K96" t="s">
        <v>162</v>
      </c>
      <c r="L96" t="s">
        <v>167</v>
      </c>
      <c r="M96" t="s">
        <v>170</v>
      </c>
      <c r="N96" t="s">
        <v>176</v>
      </c>
      <c r="O96" t="s">
        <v>181</v>
      </c>
      <c r="P96">
        <v>39.239172000000003</v>
      </c>
      <c r="Q96">
        <v>-8.684647</v>
      </c>
    </row>
    <row r="97" spans="1:17">
      <c r="A97">
        <v>307</v>
      </c>
      <c r="B97">
        <v>694</v>
      </c>
      <c r="C97" t="s">
        <v>48</v>
      </c>
      <c r="D97" t="s">
        <v>111</v>
      </c>
      <c r="E97" t="s">
        <v>129</v>
      </c>
      <c r="F97">
        <v>1250</v>
      </c>
      <c r="G97">
        <v>1572</v>
      </c>
      <c r="H97">
        <f t="shared" si="2"/>
        <v>322</v>
      </c>
      <c r="I97" t="s">
        <v>147</v>
      </c>
      <c r="J97" t="s">
        <v>154</v>
      </c>
      <c r="K97" t="s">
        <v>163</v>
      </c>
      <c r="L97" t="s">
        <v>166</v>
      </c>
      <c r="M97" t="s">
        <v>170</v>
      </c>
      <c r="N97" t="s">
        <v>176</v>
      </c>
      <c r="O97" t="s">
        <v>179</v>
      </c>
      <c r="P97">
        <v>51.813889000000003</v>
      </c>
      <c r="Q97">
        <v>4.6655559999999996</v>
      </c>
    </row>
    <row r="98" spans="1:17">
      <c r="A98">
        <v>207</v>
      </c>
      <c r="B98">
        <v>792</v>
      </c>
      <c r="C98" t="s">
        <v>50</v>
      </c>
      <c r="D98" t="s">
        <v>118</v>
      </c>
      <c r="E98" t="s">
        <v>136</v>
      </c>
      <c r="F98">
        <v>700</v>
      </c>
      <c r="G98">
        <v>1050</v>
      </c>
      <c r="H98">
        <f t="shared" ref="H98:H129" si="3">G98-F98</f>
        <v>350</v>
      </c>
      <c r="I98" t="s">
        <v>145</v>
      </c>
      <c r="J98" t="s">
        <v>153</v>
      </c>
      <c r="K98" t="s">
        <v>161</v>
      </c>
      <c r="L98" t="s">
        <v>161</v>
      </c>
      <c r="M98" t="s">
        <v>172</v>
      </c>
      <c r="N98" t="s">
        <v>177</v>
      </c>
      <c r="O98" t="s">
        <v>180</v>
      </c>
      <c r="P98">
        <v>47.137374999999999</v>
      </c>
      <c r="Q98">
        <v>7.3800920000000003</v>
      </c>
    </row>
    <row r="99" spans="1:17">
      <c r="A99">
        <v>124</v>
      </c>
      <c r="B99">
        <v>554</v>
      </c>
      <c r="C99" t="s">
        <v>27</v>
      </c>
      <c r="D99" t="s">
        <v>113</v>
      </c>
      <c r="E99" t="s">
        <v>131</v>
      </c>
      <c r="F99">
        <v>0</v>
      </c>
      <c r="G99">
        <v>400</v>
      </c>
      <c r="H99">
        <f t="shared" si="3"/>
        <v>400</v>
      </c>
      <c r="I99" t="s">
        <v>148</v>
      </c>
      <c r="J99" t="s">
        <v>152</v>
      </c>
      <c r="K99" t="s">
        <v>160</v>
      </c>
      <c r="L99" t="s">
        <v>166</v>
      </c>
      <c r="M99" t="s">
        <v>173</v>
      </c>
      <c r="N99" t="s">
        <v>176</v>
      </c>
      <c r="O99" t="s">
        <v>179</v>
      </c>
      <c r="P99">
        <v>51.883338999999999</v>
      </c>
      <c r="Q99">
        <v>0.89127800000000001</v>
      </c>
    </row>
    <row r="100" spans="1:17">
      <c r="A100">
        <v>175</v>
      </c>
      <c r="B100">
        <v>113</v>
      </c>
      <c r="C100" t="s">
        <v>3</v>
      </c>
      <c r="D100" t="s">
        <v>107</v>
      </c>
      <c r="E100" t="s">
        <v>125</v>
      </c>
      <c r="F100">
        <v>400</v>
      </c>
      <c r="G100">
        <v>900</v>
      </c>
      <c r="H100">
        <f t="shared" si="3"/>
        <v>500</v>
      </c>
      <c r="I100" t="s">
        <v>145</v>
      </c>
      <c r="J100" t="s">
        <v>152</v>
      </c>
      <c r="K100" t="s">
        <v>159</v>
      </c>
      <c r="L100" t="s">
        <v>161</v>
      </c>
      <c r="M100" t="s">
        <v>169</v>
      </c>
      <c r="N100" t="s">
        <v>175</v>
      </c>
      <c r="O100" t="s">
        <v>179</v>
      </c>
      <c r="P100">
        <v>49.9405</v>
      </c>
      <c r="Q100">
        <v>2.2091699999999999</v>
      </c>
    </row>
    <row r="101" spans="1:17">
      <c r="A101">
        <v>66</v>
      </c>
      <c r="B101">
        <v>127</v>
      </c>
      <c r="C101" t="s">
        <v>8</v>
      </c>
      <c r="D101" t="s">
        <v>107</v>
      </c>
      <c r="E101" t="s">
        <v>125</v>
      </c>
      <c r="F101">
        <v>600</v>
      </c>
      <c r="G101">
        <v>1100</v>
      </c>
      <c r="H101">
        <f t="shared" si="3"/>
        <v>500</v>
      </c>
      <c r="I101" t="s">
        <v>145</v>
      </c>
      <c r="J101" t="s">
        <v>154</v>
      </c>
      <c r="K101" t="s">
        <v>161</v>
      </c>
      <c r="L101" t="s">
        <v>161</v>
      </c>
      <c r="M101" t="s">
        <v>169</v>
      </c>
      <c r="N101" t="s">
        <v>176</v>
      </c>
      <c r="O101" t="s">
        <v>179</v>
      </c>
      <c r="P101">
        <v>50.398299999999999</v>
      </c>
      <c r="Q101">
        <v>3.31778</v>
      </c>
    </row>
    <row r="102" spans="1:17">
      <c r="A102">
        <v>5</v>
      </c>
      <c r="B102">
        <v>799</v>
      </c>
      <c r="C102" t="s">
        <v>44</v>
      </c>
      <c r="D102" t="s">
        <v>115</v>
      </c>
      <c r="E102" t="s">
        <v>133</v>
      </c>
      <c r="F102">
        <v>1250</v>
      </c>
      <c r="G102">
        <v>1750</v>
      </c>
      <c r="H102">
        <f t="shared" si="3"/>
        <v>500</v>
      </c>
      <c r="I102" t="s">
        <v>146</v>
      </c>
      <c r="J102" t="s">
        <v>156</v>
      </c>
      <c r="K102" t="s">
        <v>160</v>
      </c>
      <c r="L102" t="s">
        <v>166</v>
      </c>
      <c r="M102" t="s">
        <v>169</v>
      </c>
      <c r="N102" t="s">
        <v>176</v>
      </c>
      <c r="O102" t="s">
        <v>182</v>
      </c>
      <c r="P102">
        <v>53.737689000000003</v>
      </c>
      <c r="Q102">
        <v>18.948111000000001</v>
      </c>
    </row>
    <row r="103" spans="1:17">
      <c r="A103">
        <v>125</v>
      </c>
      <c r="B103">
        <v>883</v>
      </c>
      <c r="C103" t="s">
        <v>57</v>
      </c>
      <c r="D103" t="s">
        <v>119</v>
      </c>
      <c r="E103" t="s">
        <v>137</v>
      </c>
      <c r="F103">
        <v>1300</v>
      </c>
      <c r="G103">
        <v>1800</v>
      </c>
      <c r="H103">
        <f t="shared" si="3"/>
        <v>500</v>
      </c>
      <c r="I103" t="s">
        <v>146</v>
      </c>
      <c r="J103" t="s">
        <v>155</v>
      </c>
      <c r="K103" t="s">
        <v>159</v>
      </c>
      <c r="L103" t="s">
        <v>161</v>
      </c>
      <c r="M103" t="s">
        <v>169</v>
      </c>
      <c r="N103" t="s">
        <v>175</v>
      </c>
      <c r="O103" t="s">
        <v>181</v>
      </c>
      <c r="P103">
        <v>39.474800000000002</v>
      </c>
      <c r="Q103">
        <v>-8.339181</v>
      </c>
    </row>
    <row r="104" spans="1:17">
      <c r="A104">
        <v>298</v>
      </c>
      <c r="B104">
        <v>1114</v>
      </c>
      <c r="C104" t="s">
        <v>84</v>
      </c>
      <c r="D104" t="s">
        <v>115</v>
      </c>
      <c r="E104" t="s">
        <v>133</v>
      </c>
      <c r="F104">
        <v>1250</v>
      </c>
      <c r="G104">
        <v>1850</v>
      </c>
      <c r="H104">
        <f t="shared" si="3"/>
        <v>600</v>
      </c>
      <c r="I104" t="s">
        <v>147</v>
      </c>
      <c r="J104" t="s">
        <v>153</v>
      </c>
      <c r="K104" t="s">
        <v>161</v>
      </c>
      <c r="L104" t="s">
        <v>161</v>
      </c>
      <c r="M104" t="s">
        <v>173</v>
      </c>
      <c r="N104" t="s">
        <v>176</v>
      </c>
      <c r="O104" t="s">
        <v>182</v>
      </c>
      <c r="P104">
        <v>52.892881000000003</v>
      </c>
      <c r="Q104">
        <v>18.322706</v>
      </c>
    </row>
  </sheetData>
  <sortState ref="A2:Q104">
    <sortCondition ref="H2:H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Qian</cp:lastModifiedBy>
  <dcterms:modified xsi:type="dcterms:W3CDTF">2021-09-08T13:09:50Z</dcterms:modified>
</cp:coreProperties>
</file>