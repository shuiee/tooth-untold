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rchaeological" sheetId="2" state="visible" r:id="rId2"/>
    <sheet xmlns:r="http://schemas.openxmlformats.org/officeDocument/2006/relationships" name="Documentary" sheetId="3" state="visible" r:id="rId3"/>
    <sheet xmlns:r="http://schemas.openxmlformats.org/officeDocument/2006/relationships" name="Modern series" sheetId="4" state="visible" r:id="rId4"/>
    <sheet xmlns:r="http://schemas.openxmlformats.org/officeDocument/2006/relationships" name="Gaps and pending"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sheetData>
    <row r="1">
      <c r="A1" t="inlineStr"/>
    </row>
    <row r="2">
      <c r="A2" t="inlineStr">
        <is>
          <t>ACTIVE DENTAL INTERVENTION LAYER  (v2)</t>
        </is>
      </c>
    </row>
    <row r="3">
      <c r="A3" t="inlineStr"/>
    </row>
    <row r="4">
      <c r="A4" t="inlineStr">
        <is>
          <t>SCOPE: deliberate human modification of teeth only. Wear, caries, calculus and</t>
        </is>
      </c>
    </row>
    <row r="5">
      <c r="A5" t="inlineStr">
        <is>
          <t>occupational tooth-use (notching, chipping, LSAMAT) are EXCLUDED - they belong to</t>
        </is>
      </c>
    </row>
    <row r="6">
      <c r="A6" t="inlineStr">
        <is>
          <t>the GHHP layer. A row enters here only if a person deliberately altered a tooth.</t>
        </is>
      </c>
    </row>
    <row r="7">
      <c r="A7" t="inlineStr"/>
    </row>
    <row r="8">
      <c r="A8" t="inlineStr">
        <is>
          <t>Archaeological  49 documented cases, c.13000 BP to the 19th century</t>
        </is>
      </c>
    </row>
    <row r="9">
      <c r="A9" t="inlineStr">
        <is>
          <t>Documentary      8 Graeco-Roman texts - prescriptions, NOT treated teeth</t>
        </is>
      </c>
    </row>
    <row r="10">
      <c r="A10" t="inlineStr">
        <is>
          <t>Modern series  161 rows from the ADHS 2009 published tables</t>
        </is>
      </c>
    </row>
    <row r="11">
      <c r="A11" t="inlineStr"/>
    </row>
    <row r="12">
      <c r="A12">
        <f>== RULE 1: THE THREE SHEETS MUST NEVER SHARE AN AXIS ===</f>
        <v/>
      </c>
    </row>
    <row r="13">
      <c r="A13" t="inlineStr">
        <is>
          <t>Archaeological rows count documented objects and cases; they track excavation and</t>
        </is>
      </c>
    </row>
    <row r="14">
      <c r="A14" t="inlineStr">
        <is>
          <t>publication effort, not treatment rates - the same trap as the pathogen genomes.</t>
        </is>
      </c>
    </row>
    <row r="15">
      <c r="A15" t="inlineStr">
        <is>
          <t>Documentary rows are texts. Only the 4 rows with n_sample, and the modern sheet,</t>
        </is>
      </c>
    </row>
    <row r="16">
      <c r="A16" t="inlineStr">
        <is>
          <t>are rates. Plot cases as presence marks with a fixed glyph, never as a quantity.</t>
        </is>
      </c>
    </row>
    <row r="17">
      <c r="A17" t="inlineStr"/>
    </row>
    <row r="18">
      <c r="A18">
        <f>== RULE 2: ARCHAEOLOGICAL PREVALENCE DOES NOT RISE ===</f>
        <v/>
      </c>
    </row>
    <row r="19">
      <c r="A19" t="inlineStr">
        <is>
          <t>Pieve di Pava (10-12th c.)  1/204 = 0.49%</t>
        </is>
      </c>
    </row>
    <row r="20">
      <c r="A20" t="inlineStr">
        <is>
          <t>Aberdeen (1460-1670)        1/100 = 1.00%</t>
        </is>
      </c>
    </row>
    <row r="21">
      <c r="A21" t="inlineStr">
        <is>
          <t>Middenbeemster (1800s)      2/450 = 0.44%</t>
        </is>
      </c>
    </row>
    <row r="22">
      <c r="A22" t="inlineStr">
        <is>
          <t>Eight hundred years, never above about 1%. Different intervention types and</t>
        </is>
      </c>
    </row>
    <row r="23">
      <c r="A23" t="inlineStr">
        <is>
          <t>screening intensities, so do not plot even these three as a series - but the</t>
        </is>
      </c>
    </row>
    <row r="24">
      <c r="A24" t="inlineStr">
        <is>
          <t>qualitative claim holds. The spike happens entirely after the record ends.</t>
        </is>
      </c>
    </row>
    <row r="25">
      <c r="A25" t="inlineStr"/>
    </row>
    <row r="26">
      <c r="A26">
        <f>== RULE 3: MEASUREMENT BREAK INSIDE THE MODERN SERIES ===</f>
        <v/>
      </c>
    </row>
    <row r="27">
      <c r="A27" t="inlineStr">
        <is>
          <t>1998 was scored under BOTH "1988 criteria" and "1998 criteria" and they disagree</t>
        </is>
      </c>
    </row>
    <row r="28">
      <c r="A28" t="inlineStr">
        <is>
          <t>(mean restored teeth, all ages: 8.0 vs 7.8). 2009 is published adjusted and</t>
        </is>
      </c>
    </row>
    <row r="29">
      <c r="A29" t="inlineStr">
        <is>
          <t>unadjusted. Filter `criteria` to one set before plotting, or the step you draw</t>
        </is>
      </c>
    </row>
    <row r="30">
      <c r="A30" t="inlineStr">
        <is>
          <t>will be scoring, not teeth.</t>
        </is>
      </c>
    </row>
    <row r="31">
      <c r="A31" t="inlineStr"/>
    </row>
    <row r="32">
      <c r="A32">
        <f>== RULE 4: NOT EVERY ROW IS EUROPEAN ===</f>
        <v/>
      </c>
    </row>
    <row r="33">
      <c r="A33" t="inlineStr">
        <is>
          <t>IV045 Mehrgarh (Pakistan) is a comparator. Several catalogue entries are eastern</t>
        </is>
      </c>
    </row>
    <row r="34">
      <c r="A34" t="inlineStr">
        <is>
          <t>Mediterranean (Sidon, Beirut, Alexandria, El-Qatta, Tura el-Asmant, Sardis).</t>
        </is>
      </c>
    </row>
    <row r="35">
      <c r="A35" t="inlineStr">
        <is>
          <t>Filter on `country` before any European tally.</t>
        </is>
      </c>
    </row>
    <row r="36">
      <c r="A36" t="inlineStr"/>
    </row>
    <row r="37">
      <c r="A37">
        <f>== RULE 5: VERIFICATION ===</f>
        <v/>
      </c>
    </row>
    <row r="38">
      <c r="A38" t="inlineStr">
        <is>
          <t>full text read (40)       - primary source read directly</t>
        </is>
      </c>
    </row>
    <row r="39">
      <c r="A39" t="inlineStr">
        <is>
          <t>secondary source (4)      - detail from a review or catalogue, not the original</t>
        </is>
      </c>
    </row>
    <row r="40">
      <c r="A40" t="inlineStr">
        <is>
          <t>museum/press account (3)  - institutional blog; no denominator</t>
        </is>
      </c>
    </row>
    <row r="41">
      <c r="A41" t="inlineStr">
        <is>
          <t>conference poster (2)     - BABAO 2013, not peer reviewed</t>
        </is>
      </c>
    </row>
    <row r="42">
      <c r="A42" t="inlineStr">
        <is>
          <t>Anything not "full text read" is provisional.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0"/>
  <sheetViews>
    <sheetView workbookViewId="0">
      <selection activeCell="A1" sqref="A1"/>
    </sheetView>
  </sheetViews>
  <sheetFormatPr baseColWidth="8" defaultRowHeight="15"/>
  <sheetData>
    <row r="1">
      <c r="A1" t="inlineStr">
        <is>
          <t>intervention_id</t>
        </is>
      </c>
      <c r="B1" t="inlineStr">
        <is>
          <t>site</t>
        </is>
      </c>
      <c r="C1" t="inlineStr">
        <is>
          <t>region</t>
        </is>
      </c>
      <c r="D1" t="inlineStr">
        <is>
          <t>country</t>
        </is>
      </c>
      <c r="E1" t="inlineStr">
        <is>
          <t>date_early</t>
        </is>
      </c>
      <c r="F1" t="inlineStr">
        <is>
          <t>date_late</t>
        </is>
      </c>
      <c r="G1" t="inlineStr">
        <is>
          <t>date_note</t>
        </is>
      </c>
      <c r="H1" t="inlineStr">
        <is>
          <t>intervention_type</t>
        </is>
      </c>
      <c r="I1" t="inlineStr">
        <is>
          <t>material</t>
        </is>
      </c>
      <c r="J1" t="inlineStr">
        <is>
          <t>tooth_positions</t>
        </is>
      </c>
      <c r="K1" t="inlineStr">
        <is>
          <t>jaw</t>
        </is>
      </c>
      <c r="L1" t="inlineStr">
        <is>
          <t>function</t>
        </is>
      </c>
      <c r="M1" t="inlineStr">
        <is>
          <t>sex</t>
        </is>
      </c>
      <c r="N1" t="inlineStr">
        <is>
          <t>age</t>
        </is>
      </c>
      <c r="O1" t="inlineStr">
        <is>
          <t>n_affected</t>
        </is>
      </c>
      <c r="P1" t="inlineStr">
        <is>
          <t>n_sample</t>
        </is>
      </c>
      <c r="Q1" t="inlineStr">
        <is>
          <t>rationale_inferred</t>
        </is>
      </c>
      <c r="R1" t="inlineStr">
        <is>
          <t>evidence_type</t>
        </is>
      </c>
      <c r="S1" t="inlineStr">
        <is>
          <t>citation</t>
        </is>
      </c>
      <c r="T1" t="inlineStr">
        <is>
          <t>doi_or_ref</t>
        </is>
      </c>
      <c r="U1" t="inlineStr">
        <is>
          <t>verification_status</t>
        </is>
      </c>
    </row>
    <row r="2">
      <c r="A2" t="inlineStr">
        <is>
          <t>IV001</t>
        </is>
      </c>
      <c r="B2" t="inlineStr">
        <is>
          <t>Riparo Villabruna</t>
        </is>
      </c>
      <c r="C2" t="inlineStr">
        <is>
          <t>Veneto</t>
        </is>
      </c>
      <c r="D2" t="inlineStr">
        <is>
          <t>Italy</t>
        </is>
      </c>
      <c r="E2" t="inlineStr">
        <is>
          <t>-12210</t>
        </is>
      </c>
      <c r="F2" t="inlineStr">
        <is>
          <t>-11870</t>
        </is>
      </c>
      <c r="G2" t="inlineStr">
        <is>
          <t>14160-13820 cal BP</t>
        </is>
      </c>
      <c r="H2" t="inlineStr">
        <is>
          <t>caries excavation</t>
        </is>
      </c>
      <c r="I2" t="inlineStr">
        <is>
          <t>none (flint tool)</t>
        </is>
      </c>
      <c r="J2" t="inlineStr">
        <is>
          <t>lower right M3</t>
        </is>
      </c>
      <c r="K2" t="inlineStr">
        <is>
          <t>mandible</t>
        </is>
      </c>
      <c r="L2" t="inlineStr">
        <is>
          <t>therapeutic</t>
        </is>
      </c>
      <c r="M2" t="inlineStr">
        <is>
          <t>M</t>
        </is>
      </c>
      <c r="N2" t="inlineStr">
        <is>
          <t>c.25</t>
        </is>
      </c>
      <c r="O2" t="n">
        <v>1</v>
      </c>
      <c r="P2" t="inlineStr"/>
      <c r="Q2" t="inlineStr">
        <is>
          <t>removal of decayed tissue; V-shaped striations matched experimentally to Epigravettian flint microgravettes, not wood or bone</t>
        </is>
      </c>
      <c r="R2" t="inlineStr">
        <is>
          <t>skeletal</t>
        </is>
      </c>
      <c r="S2" t="inlineStr">
        <is>
          <t>Oxilia G et al. (2015). Scientific Reports 5:12150.</t>
        </is>
      </c>
      <c r="T2" t="inlineStr">
        <is>
          <t>10.1038/srep12150</t>
        </is>
      </c>
      <c r="U2" t="inlineStr">
        <is>
          <t>full text read</t>
        </is>
      </c>
    </row>
    <row r="3">
      <c r="A3" t="inlineStr">
        <is>
          <t>IV002</t>
        </is>
      </c>
      <c r="B3" t="inlineStr">
        <is>
          <t>Riparo Fredian (Molazzana, Lucca)</t>
        </is>
      </c>
      <c r="C3" t="inlineStr">
        <is>
          <t>Tuscany</t>
        </is>
      </c>
      <c r="D3" t="inlineStr">
        <is>
          <t>Italy</t>
        </is>
      </c>
      <c r="E3" t="inlineStr">
        <is>
          <t>-11050</t>
        </is>
      </c>
      <c r="F3" t="inlineStr">
        <is>
          <t>-10790</t>
        </is>
      </c>
      <c r="G3" t="inlineStr">
        <is>
          <t>directly dated 13,000-12,740 cal BP; individual "Fredian 5", an associated maxillary anterior dentition of 11 teeth; 6 individuals at the site</t>
        </is>
      </c>
      <c r="H3" t="inlineStr">
        <is>
          <t>pulp chamber enlargement + filling</t>
        </is>
      </c>
      <c r="I3" t="inlineStr">
        <is>
          <t>composite organic filling: bitumen, vegetal fibres and probable hairs</t>
        </is>
      </c>
      <c r="J3" t="inlineStr">
        <is>
          <t>right and left maxillary central incisors (RI1, LI1); LI1 Smith wear stage 8, RI1 stage 7</t>
        </is>
      </c>
      <c r="K3" t="inlineStr">
        <is>
          <t>maxilla</t>
        </is>
      </c>
      <c r="L3" t="inlineStr">
        <is>
          <t>therapeutic</t>
        </is>
      </c>
      <c r="M3" t="inlineStr"/>
      <c r="N3" t="inlineStr">
        <is>
          <t>adult</t>
        </is>
      </c>
      <c r="O3" t="n">
        <v>2</v>
      </c>
      <c r="P3" t="inlineStr"/>
      <c r="Q3" t="inlineStr">
        <is>
          <t>both pulp chambers exposed antemortem and circumferentially enlarged before death. Occlusal dentine flaking on the cavity margins and striations on the internal surfaces indicate anthropic manipulation. Interpreted as tool-assisted removal of necrotic or infected pulp in vivo, followed by an organic composite filling. Confirms pathology-induced dentistry among Late Pleistocene hunter-gatherers, i.e. before the Neolithic transition to food production.</t>
        </is>
      </c>
      <c r="R3" t="inlineStr">
        <is>
          <t>skeletal</t>
        </is>
      </c>
      <c r="S3" t="inlineStr">
        <is>
          <t>Oxilia G, Fiorillo F, Boschin F, et al. (2017). Am J Phys Anthropol 163:446-461.</t>
        </is>
      </c>
      <c r="T3" t="inlineStr">
        <is>
          <t>10.1002/ajpa.23216</t>
        </is>
      </c>
      <c r="U3" t="inlineStr">
        <is>
          <t>full text read</t>
        </is>
      </c>
    </row>
    <row r="4">
      <c r="A4" t="inlineStr">
        <is>
          <t>IV003</t>
        </is>
      </c>
      <c r="B4" t="inlineStr">
        <is>
          <t>Lonche cave</t>
        </is>
      </c>
      <c r="C4" t="inlineStr">
        <is>
          <t>Istria</t>
        </is>
      </c>
      <c r="D4" t="inlineStr">
        <is>
          <t>Slovenia</t>
        </is>
      </c>
      <c r="E4" t="inlineStr">
        <is>
          <t>-4705</t>
        </is>
      </c>
      <c r="F4" t="inlineStr">
        <is>
          <t>-4450</t>
        </is>
      </c>
      <c r="G4" t="inlineStr">
        <is>
          <t>6655-6400 cal BP</t>
        </is>
      </c>
      <c r="H4" t="inlineStr">
        <is>
          <t>filling</t>
        </is>
      </c>
      <c r="I4" t="inlineStr">
        <is>
          <t>beeswax</t>
        </is>
      </c>
      <c r="J4" t="inlineStr">
        <is>
          <t>lower left canine</t>
        </is>
      </c>
      <c r="K4" t="inlineStr">
        <is>
          <t>mandible</t>
        </is>
      </c>
      <c r="L4" t="inlineStr">
        <is>
          <t>palliative</t>
        </is>
      </c>
      <c r="M4" t="inlineStr">
        <is>
          <t>adult</t>
        </is>
      </c>
      <c r="N4" t="inlineStr"/>
      <c r="O4" t="n">
        <v>1</v>
      </c>
      <c r="P4" t="inlineStr"/>
      <c r="Q4" t="inlineStr">
        <is>
          <t>exposed dentine and vertical crack; beeswax confirmed by infrared spectroscopy and radiocarbon-matched to the mandible</t>
        </is>
      </c>
      <c r="R4" t="inlineStr">
        <is>
          <t>skeletal</t>
        </is>
      </c>
      <c r="S4" t="inlineStr">
        <is>
          <t>Bernardini F et al. (2012). PLoS ONE 7(9):e44904.</t>
        </is>
      </c>
      <c r="T4" t="inlineStr">
        <is>
          <t>10.1371/journal.pone.0044904</t>
        </is>
      </c>
      <c r="U4" t="inlineStr">
        <is>
          <t>full text read</t>
        </is>
      </c>
    </row>
    <row r="5">
      <c r="A5" t="inlineStr">
        <is>
          <t>IV004</t>
        </is>
      </c>
      <c r="B5" t="inlineStr">
        <is>
          <t>Bracciano appliance - Near Lake Bracciano</t>
        </is>
      </c>
      <c r="C5" t="inlineStr">
        <is>
          <t>Etruria</t>
        </is>
      </c>
      <c r="D5" t="inlineStr">
        <is>
          <t>Italy</t>
        </is>
      </c>
      <c r="E5" t="inlineStr">
        <is>
          <t>-699</t>
        </is>
      </c>
      <c r="F5" t="inlineStr">
        <is>
          <t>-600</t>
        </is>
      </c>
      <c r="G5" t="inlineStr">
        <is>
          <t>7th c.?</t>
        </is>
      </c>
      <c r="H5" t="inlineStr">
        <is>
          <t>gold-band dental appliance</t>
        </is>
      </c>
      <c r="I5" t="inlineStr">
        <is>
          <t>gold; false tooth: owner's tooth, filed down?</t>
        </is>
      </c>
      <c r="J5" t="inlineStr">
        <is>
          <t>maxilla I1-I2</t>
        </is>
      </c>
      <c r="K5" t="inlineStr">
        <is>
          <t>maxilla</t>
        </is>
      </c>
      <c r="L5" t="inlineStr">
        <is>
          <t>replacement</t>
        </is>
      </c>
      <c r="M5" t="inlineStr">
        <is>
          <t>F?</t>
        </is>
      </c>
      <c r="N5" t="inlineStr"/>
      <c r="O5" t="n">
        <v>1</v>
      </c>
      <c r="P5" t="inlineStr"/>
      <c r="Q5" t="inlineStr">
        <is>
          <t>cosmetic/status display; band appliances stabilize or replace anterior teeth, several of which were removed while healthy. Wearers predominantly female, sex usually inferred from tooth size.</t>
        </is>
      </c>
      <c r="R5" t="inlineStr">
        <is>
          <t>object (often without associated skeleton)</t>
        </is>
      </c>
      <c r="S5" t="inlineStr">
        <is>
          <t>Becker MJ, Turfa JM (2017). The Etruscans and the History of Dentistry, ch.5 Catalogue, Tables 5.8-5.14. Routledge.</t>
        </is>
      </c>
      <c r="T5" t="inlineStr">
        <is>
          <t>10.4324/9781315559254-6</t>
        </is>
      </c>
      <c r="U5" t="inlineStr">
        <is>
          <t>full text read</t>
        </is>
      </c>
    </row>
    <row r="6">
      <c r="A6" t="inlineStr">
        <is>
          <t>IV005</t>
        </is>
      </c>
      <c r="B6" t="inlineStr">
        <is>
          <t>Satricum appliance - Satricum, Borgo Le Ferriere, Tumulus C</t>
        </is>
      </c>
      <c r="C6" t="inlineStr">
        <is>
          <t>Latium</t>
        </is>
      </c>
      <c r="D6" t="inlineStr">
        <is>
          <t>Italy</t>
        </is>
      </c>
      <c r="E6" t="inlineStr">
        <is>
          <t>-650</t>
        </is>
      </c>
      <c r="F6" t="inlineStr">
        <is>
          <t>-630</t>
        </is>
      </c>
      <c r="G6" t="inlineStr">
        <is>
          <t>7th c., c.630 BCE</t>
        </is>
      </c>
      <c r="H6" t="inlineStr">
        <is>
          <t>gold-band dental appliance</t>
        </is>
      </c>
      <c r="I6" t="inlineStr">
        <is>
          <t>gold; false tooth: hollow gold tooth</t>
        </is>
      </c>
      <c r="J6" t="inlineStr">
        <is>
          <t>maxilla 2I-C, 5 spaces</t>
        </is>
      </c>
      <c r="K6" t="inlineStr">
        <is>
          <t>maxilla</t>
        </is>
      </c>
      <c r="L6" t="inlineStr">
        <is>
          <t>replacement</t>
        </is>
      </c>
      <c r="M6" t="inlineStr">
        <is>
          <t>F</t>
        </is>
      </c>
      <c r="N6" t="inlineStr">
        <is>
          <t>c.50</t>
        </is>
      </c>
      <c r="O6" t="n">
        <v>1</v>
      </c>
      <c r="P6" t="inlineStr"/>
      <c r="Q6" t="inlineStr">
        <is>
          <t>cosmetic/status display; band appliances stabilize or replace anterior teeth, several of which were removed while healthy. Wearers predominantly female, sex usually inferred from tooth size.</t>
        </is>
      </c>
      <c r="R6" t="inlineStr">
        <is>
          <t>object (often without associated skeleton)</t>
        </is>
      </c>
      <c r="S6" t="inlineStr">
        <is>
          <t>Becker MJ, Turfa JM (2017). The Etruscans and the History of Dentistry, ch.5 Catalogue, Tables 5.8-5.14. Routledge.</t>
        </is>
      </c>
      <c r="T6" t="inlineStr">
        <is>
          <t>10.4324/9781315559254-6</t>
        </is>
      </c>
      <c r="U6" t="inlineStr">
        <is>
          <t>full text read</t>
        </is>
      </c>
    </row>
    <row r="7">
      <c r="A7" t="inlineStr">
        <is>
          <t>IV006</t>
        </is>
      </c>
      <c r="B7" t="inlineStr">
        <is>
          <t>Van Marter appliance - "Lake of Valseno" (Bolsena?), near Rome</t>
        </is>
      </c>
      <c r="C7" t="inlineStr">
        <is>
          <t>Etruria</t>
        </is>
      </c>
      <c r="D7" t="inlineStr">
        <is>
          <t>Italy</t>
        </is>
      </c>
      <c r="E7" t="inlineStr">
        <is>
          <t>-600</t>
        </is>
      </c>
      <c r="F7" t="inlineStr">
        <is>
          <t>-600</t>
        </is>
      </c>
      <c r="G7" t="inlineStr">
        <is>
          <t>600 BCE?</t>
        </is>
      </c>
      <c r="H7" t="inlineStr">
        <is>
          <t>gold-band dental appliance</t>
        </is>
      </c>
      <c r="I7" t="inlineStr">
        <is>
          <t>gold; false tooth: reworked human tooth</t>
        </is>
      </c>
      <c r="J7" t="inlineStr">
        <is>
          <t>maxilla</t>
        </is>
      </c>
      <c r="K7" t="inlineStr">
        <is>
          <t>maxilla</t>
        </is>
      </c>
      <c r="L7" t="inlineStr">
        <is>
          <t>replacement</t>
        </is>
      </c>
      <c r="M7" t="inlineStr">
        <is>
          <t>F??</t>
        </is>
      </c>
      <c r="N7" t="inlineStr"/>
      <c r="O7" t="n">
        <v>1</v>
      </c>
      <c r="P7" t="inlineStr"/>
      <c r="Q7" t="inlineStr">
        <is>
          <t>cosmetic/status display; band appliances stabilize or replace anterior teeth, several of which were removed while healthy. Wearers predominantly female, sex usually inferred from tooth size.</t>
        </is>
      </c>
      <c r="R7" t="inlineStr">
        <is>
          <t>object (often without associated skeleton)</t>
        </is>
      </c>
      <c r="S7" t="inlineStr">
        <is>
          <t>Becker MJ, Turfa JM (2017). The Etruscans and the History of Dentistry, ch.5 Catalogue, Tables 5.8-5.14. Routledge.</t>
        </is>
      </c>
      <c r="T7" t="inlineStr">
        <is>
          <t>10.4324/9781315559254-6</t>
        </is>
      </c>
      <c r="U7" t="inlineStr">
        <is>
          <t>full text read</t>
        </is>
      </c>
    </row>
    <row r="8">
      <c r="A8" t="inlineStr">
        <is>
          <t>IV007</t>
        </is>
      </c>
      <c r="B8" t="inlineStr">
        <is>
          <t>Ghent appliance - "Near Orvieto"</t>
        </is>
      </c>
      <c r="C8" t="inlineStr">
        <is>
          <t>Etruria</t>
        </is>
      </c>
      <c r="D8" t="inlineStr">
        <is>
          <t>Italy</t>
        </is>
      </c>
      <c r="E8" t="inlineStr">
        <is>
          <t>-599</t>
        </is>
      </c>
      <c r="F8" t="inlineStr">
        <is>
          <t>-500</t>
        </is>
      </c>
      <c r="G8" t="inlineStr">
        <is>
          <t>6th c. or later?</t>
        </is>
      </c>
      <c r="H8" t="inlineStr">
        <is>
          <t>gold-band dental appliance</t>
        </is>
      </c>
      <c r="I8" t="inlineStr">
        <is>
          <t>gold</t>
        </is>
      </c>
      <c r="J8" t="inlineStr">
        <is>
          <t>maxilla (2I-I2), 4 incisors</t>
        </is>
      </c>
      <c r="K8" t="inlineStr">
        <is>
          <t>maxilla</t>
        </is>
      </c>
      <c r="L8" t="inlineStr">
        <is>
          <t>stabilize</t>
        </is>
      </c>
      <c r="M8" t="inlineStr">
        <is>
          <t>?</t>
        </is>
      </c>
      <c r="N8" t="inlineStr"/>
      <c r="O8" t="n">
        <v>1</v>
      </c>
      <c r="P8" t="inlineStr"/>
      <c r="Q8" t="inlineStr">
        <is>
          <t>cosmetic/status display; band appliances stabilize or replace anterior teeth, several of which were removed while healthy. Wearers predominantly female, sex usually inferred from tooth size.</t>
        </is>
      </c>
      <c r="R8" t="inlineStr">
        <is>
          <t>object (often without associated skeleton)</t>
        </is>
      </c>
      <c r="S8" t="inlineStr">
        <is>
          <t>Becker MJ, Turfa JM (2017). The Etruscans and the History of Dentistry, ch.5 Catalogue, Tables 5.8-5.14. Routledge.</t>
        </is>
      </c>
      <c r="T8" t="inlineStr">
        <is>
          <t>10.4324/9781315559254-6</t>
        </is>
      </c>
      <c r="U8" t="inlineStr">
        <is>
          <t>full text read</t>
        </is>
      </c>
    </row>
    <row r="9">
      <c r="A9" t="inlineStr">
        <is>
          <t>IV008</t>
        </is>
      </c>
      <c r="B9" t="inlineStr">
        <is>
          <t>Cometo I appliance - Tarquinia</t>
        </is>
      </c>
      <c r="C9" t="inlineStr">
        <is>
          <t>Etruria</t>
        </is>
      </c>
      <c r="D9" t="inlineStr">
        <is>
          <t>Italy</t>
        </is>
      </c>
      <c r="E9" t="inlineStr">
        <is>
          <t>-530</t>
        </is>
      </c>
      <c r="F9" t="inlineStr">
        <is>
          <t>-510</t>
        </is>
      </c>
      <c r="G9" t="inlineStr">
        <is>
          <t>530-510 BCE?</t>
        </is>
      </c>
      <c r="H9" t="inlineStr">
        <is>
          <t>gold-band dental appliance</t>
        </is>
      </c>
      <c r="I9" t="inlineStr">
        <is>
          <t>gold; false tooth: central lateral incisors - 1 lost</t>
        </is>
      </c>
      <c r="J9" t="inlineStr">
        <is>
          <t>maxilla, left C-I2</t>
        </is>
      </c>
      <c r="K9" t="inlineStr">
        <is>
          <t>maxilla</t>
        </is>
      </c>
      <c r="L9" t="inlineStr">
        <is>
          <t>replacement</t>
        </is>
      </c>
      <c r="M9" t="inlineStr">
        <is>
          <t>??</t>
        </is>
      </c>
      <c r="N9" t="inlineStr"/>
      <c r="O9" t="n">
        <v>1</v>
      </c>
      <c r="P9" t="inlineStr"/>
      <c r="Q9" t="inlineStr">
        <is>
          <t>cosmetic/status display; band appliances stabilize or replace anterior teeth, several of which were removed while healthy. Wearers predominantly female, sex usually inferred from tooth size.</t>
        </is>
      </c>
      <c r="R9" t="inlineStr">
        <is>
          <t>object (often without associated skeleton)</t>
        </is>
      </c>
      <c r="S9" t="inlineStr">
        <is>
          <t>Becker MJ, Turfa JM (2017). The Etruscans and the History of Dentistry, ch.5 Catalogue, Tables 5.8-5.14. Routledge.</t>
        </is>
      </c>
      <c r="T9" t="inlineStr">
        <is>
          <t>10.4324/9781315559254-6</t>
        </is>
      </c>
      <c r="U9" t="inlineStr">
        <is>
          <t>full text read</t>
        </is>
      </c>
    </row>
    <row r="10">
      <c r="A10" t="inlineStr">
        <is>
          <t>IV009</t>
        </is>
      </c>
      <c r="B10" t="inlineStr">
        <is>
          <t>Cometo II appliance - Tarquinia</t>
        </is>
      </c>
      <c r="C10" t="inlineStr">
        <is>
          <t>Etruria</t>
        </is>
      </c>
      <c r="D10" t="inlineStr">
        <is>
          <t>Italy</t>
        </is>
      </c>
      <c r="E10" t="inlineStr">
        <is>
          <t>-500</t>
        </is>
      </c>
      <c r="F10" t="inlineStr">
        <is>
          <t>-500</t>
        </is>
      </c>
      <c r="G10" t="inlineStr">
        <is>
          <t>500 BCE?</t>
        </is>
      </c>
      <c r="H10" t="inlineStr">
        <is>
          <t>gold-band dental appliance</t>
        </is>
      </c>
      <c r="I10" t="inlineStr">
        <is>
          <t>gold; false tooth: ivory (2 teeth carved in one piece)</t>
        </is>
      </c>
      <c r="J10" t="inlineStr">
        <is>
          <t>maxilla (2PM-right C?), 8 spaces</t>
        </is>
      </c>
      <c r="K10" t="inlineStr">
        <is>
          <t>maxilla</t>
        </is>
      </c>
      <c r="L10" t="inlineStr">
        <is>
          <t>replacement</t>
        </is>
      </c>
      <c r="M10" t="inlineStr">
        <is>
          <t>F??</t>
        </is>
      </c>
      <c r="N10" t="inlineStr"/>
      <c r="O10" t="n">
        <v>1</v>
      </c>
      <c r="P10" t="inlineStr"/>
      <c r="Q10" t="inlineStr">
        <is>
          <t>cosmetic/status display; band appliances stabilize or replace anterior teeth, several of which were removed while healthy. Wearers predominantly female, sex usually inferred from tooth size.</t>
        </is>
      </c>
      <c r="R10" t="inlineStr">
        <is>
          <t>object (often without associated skeleton)</t>
        </is>
      </c>
      <c r="S10" t="inlineStr">
        <is>
          <t>Becker MJ, Turfa JM (2017). The Etruscans and the History of Dentistry, ch.5 Catalogue, Tables 5.8-5.14. Routledge.</t>
        </is>
      </c>
      <c r="T10" t="inlineStr">
        <is>
          <t>10.4324/9781315559254-6</t>
        </is>
      </c>
      <c r="U10" t="inlineStr">
        <is>
          <t>full text read</t>
        </is>
      </c>
    </row>
    <row r="11">
      <c r="A11" t="inlineStr">
        <is>
          <t>IV010</t>
        </is>
      </c>
      <c r="B11" t="inlineStr">
        <is>
          <t>Barrett II appliance - Bisenzio, tomb on Capodimonte, Lake Bolsena</t>
        </is>
      </c>
      <c r="C11" t="inlineStr">
        <is>
          <t>Etruria</t>
        </is>
      </c>
      <c r="D11" t="inlineStr">
        <is>
          <t>Italy</t>
        </is>
      </c>
      <c r="E11" t="inlineStr">
        <is>
          <t>-500</t>
        </is>
      </c>
      <c r="F11" t="inlineStr">
        <is>
          <t>-480</t>
        </is>
      </c>
      <c r="G11" t="inlineStr">
        <is>
          <t>500-480 BCE</t>
        </is>
      </c>
      <c r="H11" t="inlineStr">
        <is>
          <t>gold-band dental appliance</t>
        </is>
      </c>
      <c r="I11" t="inlineStr">
        <is>
          <t>gold</t>
        </is>
      </c>
      <c r="J11" t="inlineStr">
        <is>
          <t>maxilla (2PM-I1?)</t>
        </is>
      </c>
      <c r="K11" t="inlineStr">
        <is>
          <t>maxilla</t>
        </is>
      </c>
      <c r="L11" t="inlineStr">
        <is>
          <t>stabilize</t>
        </is>
      </c>
      <c r="M11" t="inlineStr">
        <is>
          <t>F</t>
        </is>
      </c>
      <c r="N11" t="inlineStr"/>
      <c r="O11" t="n">
        <v>1</v>
      </c>
      <c r="P11" t="inlineStr"/>
      <c r="Q11" t="inlineStr">
        <is>
          <t>cosmetic/status display; band appliances stabilize or replace anterior teeth, several of which were removed while healthy. Wearers predominantly female, sex usually inferred from tooth size.</t>
        </is>
      </c>
      <c r="R11" t="inlineStr">
        <is>
          <t>object (often without associated skeleton)</t>
        </is>
      </c>
      <c r="S11" t="inlineStr">
        <is>
          <t>Becker MJ, Turfa JM (2017). The Etruscans and the History of Dentistry, ch.5 Catalogue, Tables 5.8-5.14. Routledge.</t>
        </is>
      </c>
      <c r="T11" t="inlineStr">
        <is>
          <t>10.4324/9781315559254-6</t>
        </is>
      </c>
      <c r="U11" t="inlineStr">
        <is>
          <t>full text read</t>
        </is>
      </c>
    </row>
    <row r="12">
      <c r="A12" t="inlineStr">
        <is>
          <t>IV011</t>
        </is>
      </c>
      <c r="B12" t="inlineStr">
        <is>
          <t>Copenhagen appliance - Orvieto</t>
        </is>
      </c>
      <c r="C12" t="inlineStr">
        <is>
          <t>Etruria</t>
        </is>
      </c>
      <c r="D12" t="inlineStr">
        <is>
          <t>Italy</t>
        </is>
      </c>
      <c r="E12" t="inlineStr">
        <is>
          <t>-500</t>
        </is>
      </c>
      <c r="F12" t="inlineStr">
        <is>
          <t>-490</t>
        </is>
      </c>
      <c r="G12" t="inlineStr">
        <is>
          <t>c.500-490 BCE</t>
        </is>
      </c>
      <c r="H12" t="inlineStr">
        <is>
          <t>gold-band dental appliance</t>
        </is>
      </c>
      <c r="I12" t="inlineStr">
        <is>
          <t>gold; false tooth: not recovered</t>
        </is>
      </c>
      <c r="J12" t="inlineStr">
        <is>
          <t>maxilla I1-I2</t>
        </is>
      </c>
      <c r="K12" t="inlineStr">
        <is>
          <t>maxilla</t>
        </is>
      </c>
      <c r="L12" t="inlineStr">
        <is>
          <t>replacement</t>
        </is>
      </c>
      <c r="M12" t="inlineStr">
        <is>
          <t>F</t>
        </is>
      </c>
      <c r="N12" t="inlineStr"/>
      <c r="O12" t="n">
        <v>1</v>
      </c>
      <c r="P12" t="inlineStr"/>
      <c r="Q12" t="inlineStr">
        <is>
          <t>cosmetic/status display; band appliances stabilize or replace anterior teeth, several of which were removed while healthy. Wearers predominantly female, sex usually inferred from tooth size.</t>
        </is>
      </c>
      <c r="R12" t="inlineStr">
        <is>
          <t>object (often without associated skeleton)</t>
        </is>
      </c>
      <c r="S12" t="inlineStr">
        <is>
          <t>Becker MJ, Turfa JM (2017). The Etruscans and the History of Dentistry, ch.5 Catalogue, Tables 5.8-5.14. Routledge.</t>
        </is>
      </c>
      <c r="T12" t="inlineStr">
        <is>
          <t>10.4324/9781315559254-6</t>
        </is>
      </c>
      <c r="U12" t="inlineStr">
        <is>
          <t>full text read</t>
        </is>
      </c>
    </row>
    <row r="13">
      <c r="A13" t="inlineStr">
        <is>
          <t>IV012</t>
        </is>
      </c>
      <c r="B13" t="inlineStr">
        <is>
          <t>Barrett I appliance - Etruria</t>
        </is>
      </c>
      <c r="C13" t="inlineStr">
        <is>
          <t>Etruria</t>
        </is>
      </c>
      <c r="D13" t="inlineStr">
        <is>
          <t>Italy</t>
        </is>
      </c>
      <c r="E13" t="inlineStr">
        <is>
          <t>-499</t>
        </is>
      </c>
      <c r="F13" t="inlineStr">
        <is>
          <t>-400</t>
        </is>
      </c>
      <c r="G13" t="inlineStr">
        <is>
          <t>?5th c.</t>
        </is>
      </c>
      <c r="H13" t="inlineStr">
        <is>
          <t>gold-band dental appliance</t>
        </is>
      </c>
      <c r="I13" t="inlineStr">
        <is>
          <t>gold</t>
        </is>
      </c>
      <c r="J13" t="inlineStr">
        <is>
          <t>maxilla I1 plus (I1,I2?)</t>
        </is>
      </c>
      <c r="K13" t="inlineStr">
        <is>
          <t>maxilla</t>
        </is>
      </c>
      <c r="L13" t="inlineStr">
        <is>
          <t>stabilize</t>
        </is>
      </c>
      <c r="M13" t="inlineStr">
        <is>
          <t>F?</t>
        </is>
      </c>
      <c r="N13" t="inlineStr"/>
      <c r="O13" t="n">
        <v>1</v>
      </c>
      <c r="P13" t="inlineStr"/>
      <c r="Q13" t="inlineStr">
        <is>
          <t>cosmetic/status display; band appliances stabilize or replace anterior teeth, several of which were removed while healthy. Wearers predominantly female, sex usually inferred from tooth size.</t>
        </is>
      </c>
      <c r="R13" t="inlineStr">
        <is>
          <t>object (often without associated skeleton)</t>
        </is>
      </c>
      <c r="S13" t="inlineStr">
        <is>
          <t>Becker MJ, Turfa JM (2017). The Etruscans and the History of Dentistry, ch.5 Catalogue, Tables 5.8-5.14. Routledge.</t>
        </is>
      </c>
      <c r="T13" t="inlineStr">
        <is>
          <t>10.4324/9781315559254-6</t>
        </is>
      </c>
      <c r="U13" t="inlineStr">
        <is>
          <t>full text read</t>
        </is>
      </c>
    </row>
    <row r="14">
      <c r="A14" t="inlineStr">
        <is>
          <t>IV013</t>
        </is>
      </c>
      <c r="B14" t="inlineStr">
        <is>
          <t>Ford (W2) - Sidon, Tomb I, Ain Hilweh necropolis; American University Museum Beirut</t>
        </is>
      </c>
      <c r="C14" t="inlineStr">
        <is>
          <t>Phoenicia</t>
        </is>
      </c>
      <c r="D14" t="inlineStr">
        <is>
          <t>Lebanon</t>
        </is>
      </c>
      <c r="E14" t="inlineStr">
        <is>
          <t>-499</t>
        </is>
      </c>
      <c r="F14" t="inlineStr">
        <is>
          <t>-350</t>
        </is>
      </c>
      <c r="G14" t="inlineStr">
        <is>
          <t>5th-4th c. BCE</t>
        </is>
      </c>
      <c r="H14" t="inlineStr">
        <is>
          <t>wire dental appliance</t>
        </is>
      </c>
      <c r="I14" t="inlineStr">
        <is>
          <t>gold wire brace</t>
        </is>
      </c>
      <c r="J14" t="inlineStr">
        <is>
          <t>mandible, 6 teeth C to C, with decay</t>
        </is>
      </c>
      <c r="K14" t="inlineStr">
        <is>
          <t>mandible</t>
        </is>
      </c>
      <c r="L14" t="inlineStr">
        <is>
          <t>stabilize</t>
        </is>
      </c>
      <c r="M14" t="inlineStr">
        <is>
          <t>M?</t>
        </is>
      </c>
      <c r="N14" t="inlineStr">
        <is>
          <t>middle aged</t>
        </is>
      </c>
      <c r="O14" t="n">
        <v>1</v>
      </c>
      <c r="P14" t="inlineStr"/>
      <c r="Q14" t="inlineStr">
        <is>
          <t>functional replacement or stabilization of teeth lost to periodontal disease. The Collatina piece is the only Roman-era example known from Rome or Italy; Becker notes that if such appliances had been common, more should have survived.</t>
        </is>
      </c>
      <c r="R14" t="inlineStr">
        <is>
          <t>object with associated remains</t>
        </is>
      </c>
      <c r="S14" t="inlineStr">
        <is>
          <t>Becker MJ, Turfa JM (2017). The Etruscans and the History of Dentistry, ch.5 Catalogue, Tables 5.8-5.14. Routledge.</t>
        </is>
      </c>
      <c r="T14" t="inlineStr">
        <is>
          <t>10.4324/9781315559254-6</t>
        </is>
      </c>
      <c r="U14" t="inlineStr">
        <is>
          <t>full text read</t>
        </is>
      </c>
    </row>
    <row r="15">
      <c r="A15" t="inlineStr">
        <is>
          <t>IV014</t>
        </is>
      </c>
      <c r="B15" t="inlineStr">
        <is>
          <t>Bruschi I appliance - Probably territory of Tarquinia</t>
        </is>
      </c>
      <c r="C15" t="inlineStr">
        <is>
          <t>Etruria</t>
        </is>
      </c>
      <c r="D15" t="inlineStr">
        <is>
          <t>Italy</t>
        </is>
      </c>
      <c r="E15" t="inlineStr">
        <is>
          <t>-499</t>
        </is>
      </c>
      <c r="F15" t="inlineStr">
        <is>
          <t>-400</t>
        </is>
      </c>
      <c r="G15" t="inlineStr">
        <is>
          <t>5th c.?</t>
        </is>
      </c>
      <c r="H15" t="inlineStr">
        <is>
          <t>gold-band dental appliance</t>
        </is>
      </c>
      <c r="I15" t="inlineStr">
        <is>
          <t>gold</t>
        </is>
      </c>
      <c r="J15" t="inlineStr">
        <is>
          <t>maxilla, 4 spaces (incisors)</t>
        </is>
      </c>
      <c r="K15" t="inlineStr">
        <is>
          <t>maxilla</t>
        </is>
      </c>
      <c r="L15" t="inlineStr">
        <is>
          <t>stabilize</t>
        </is>
      </c>
      <c r="M15" t="inlineStr">
        <is>
          <t>F</t>
        </is>
      </c>
      <c r="N15" t="inlineStr"/>
      <c r="O15" t="n">
        <v>1</v>
      </c>
      <c r="P15" t="inlineStr"/>
      <c r="Q15" t="inlineStr">
        <is>
          <t>cosmetic/status display; band appliances stabilize or replace anterior teeth, several of which were removed while healthy. Wearers predominantly female, sex usually inferred from tooth size.</t>
        </is>
      </c>
      <c r="R15" t="inlineStr">
        <is>
          <t>object (often without associated skeleton)</t>
        </is>
      </c>
      <c r="S15" t="inlineStr">
        <is>
          <t>Becker MJ, Turfa JM (2017). The Etruscans and the History of Dentistry, ch.5 Catalogue, Tables 5.8-5.14. Routledge.</t>
        </is>
      </c>
      <c r="T15" t="inlineStr">
        <is>
          <t>10.4324/9781315559254-6</t>
        </is>
      </c>
      <c r="U15" t="inlineStr">
        <is>
          <t>full text read</t>
        </is>
      </c>
    </row>
    <row r="16">
      <c r="A16" t="inlineStr">
        <is>
          <t>IV015</t>
        </is>
      </c>
      <c r="B16" t="inlineStr">
        <is>
          <t>Populonia appliance - Populonia, San Cerbone necropolis (tomb destroyed)</t>
        </is>
      </c>
      <c r="C16" t="inlineStr">
        <is>
          <t>Etruria</t>
        </is>
      </c>
      <c r="D16" t="inlineStr">
        <is>
          <t>Italy</t>
        </is>
      </c>
      <c r="E16" t="inlineStr">
        <is>
          <t>-399</t>
        </is>
      </c>
      <c r="F16" t="inlineStr">
        <is>
          <t>-300</t>
        </is>
      </c>
      <c r="G16" t="inlineStr">
        <is>
          <t>4th c.</t>
        </is>
      </c>
      <c r="H16" t="inlineStr">
        <is>
          <t>gold-band dental appliance</t>
        </is>
      </c>
      <c r="I16" t="inlineStr">
        <is>
          <t>gold; false tooth: central incisor lost</t>
        </is>
      </c>
      <c r="J16" t="inlineStr">
        <is>
          <t>maxilla (2I-I2)?</t>
        </is>
      </c>
      <c r="K16" t="inlineStr">
        <is>
          <t>maxilla</t>
        </is>
      </c>
      <c r="L16" t="inlineStr">
        <is>
          <t>replacement</t>
        </is>
      </c>
      <c r="M16" t="inlineStr">
        <is>
          <t>?</t>
        </is>
      </c>
      <c r="N16" t="inlineStr"/>
      <c r="O16" t="n">
        <v>1</v>
      </c>
      <c r="P16" t="inlineStr"/>
      <c r="Q16" t="inlineStr">
        <is>
          <t>cosmetic/status display; band appliances stabilize or replace anterior teeth, several of which were removed while healthy. Wearers predominantly female, sex usually inferred from tooth size.</t>
        </is>
      </c>
      <c r="R16" t="inlineStr">
        <is>
          <t>object (often without associated skeleton)</t>
        </is>
      </c>
      <c r="S16" t="inlineStr">
        <is>
          <t>Becker MJ, Turfa JM (2017). The Etruscans and the History of Dentistry, ch.5 Catalogue, Tables 5.8-5.14. Routledge.</t>
        </is>
      </c>
      <c r="T16" t="inlineStr">
        <is>
          <t>10.4324/9781315559254-6</t>
        </is>
      </c>
      <c r="U16" t="inlineStr">
        <is>
          <t>full text read</t>
        </is>
      </c>
    </row>
    <row r="17">
      <c r="A17" t="inlineStr">
        <is>
          <t>IV016</t>
        </is>
      </c>
      <c r="B17" t="inlineStr">
        <is>
          <t>Valsiarosa appliance - Valsiarosa necropolis of Falerii Veteres, Tomb 20</t>
        </is>
      </c>
      <c r="C17" t="inlineStr">
        <is>
          <t>Falerii</t>
        </is>
      </c>
      <c r="D17" t="inlineStr">
        <is>
          <t>Italy</t>
        </is>
      </c>
      <c r="E17" t="inlineStr">
        <is>
          <t>-399</t>
        </is>
      </c>
      <c r="F17" t="inlineStr">
        <is>
          <t>-300</t>
        </is>
      </c>
      <c r="G17" t="inlineStr">
        <is>
          <t>4th c.?</t>
        </is>
      </c>
      <c r="H17" t="inlineStr">
        <is>
          <t>gold-band dental appliance</t>
        </is>
      </c>
      <c r="I17" t="inlineStr">
        <is>
          <t>gold; false tooth: skull substituted</t>
        </is>
      </c>
      <c r="J17" t="inlineStr">
        <is>
          <t>maxilla C-C</t>
        </is>
      </c>
      <c r="K17" t="inlineStr">
        <is>
          <t>maxilla</t>
        </is>
      </c>
      <c r="L17" t="inlineStr">
        <is>
          <t>replacement</t>
        </is>
      </c>
      <c r="M17" t="inlineStr">
        <is>
          <t>F?</t>
        </is>
      </c>
      <c r="N17" t="inlineStr"/>
      <c r="O17" t="n">
        <v>1</v>
      </c>
      <c r="P17" t="inlineStr"/>
      <c r="Q17" t="inlineStr">
        <is>
          <t>cosmetic/status display; band appliances stabilize or replace anterior teeth, several of which were removed while healthy. Wearers predominantly female, sex usually inferred from tooth size.</t>
        </is>
      </c>
      <c r="R17" t="inlineStr">
        <is>
          <t>object (often without associated skeleton)</t>
        </is>
      </c>
      <c r="S17" t="inlineStr">
        <is>
          <t>Becker MJ, Turfa JM (2017). The Etruscans and the History of Dentistry, ch.5 Catalogue, Tables 5.8-5.14. Routledge.</t>
        </is>
      </c>
      <c r="T17" t="inlineStr">
        <is>
          <t>10.4324/9781315559254-6</t>
        </is>
      </c>
      <c r="U17" t="inlineStr">
        <is>
          <t>full text read</t>
        </is>
      </c>
    </row>
    <row r="18">
      <c r="A18" t="inlineStr">
        <is>
          <t>IV017</t>
        </is>
      </c>
      <c r="B18" t="inlineStr">
        <is>
          <t>Tanagra appliance - Tanagra, Boeotia</t>
        </is>
      </c>
      <c r="C18" t="inlineStr">
        <is>
          <t>Boeotia</t>
        </is>
      </c>
      <c r="D18" t="inlineStr">
        <is>
          <t>Greece</t>
        </is>
      </c>
      <c r="E18" t="inlineStr">
        <is>
          <t>-399</t>
        </is>
      </c>
      <c r="F18" t="inlineStr">
        <is>
          <t>-250</t>
        </is>
      </c>
      <c r="G18" t="inlineStr">
        <is>
          <t>4th-3rd c.?</t>
        </is>
      </c>
      <c r="H18" t="inlineStr">
        <is>
          <t>gold-band dental appliance</t>
        </is>
      </c>
      <c r="I18" t="inlineStr">
        <is>
          <t>gold</t>
        </is>
      </c>
      <c r="J18" t="inlineStr">
        <is>
          <t>maxilla C-C, 6 spaces</t>
        </is>
      </c>
      <c r="K18" t="inlineStr">
        <is>
          <t>maxilla</t>
        </is>
      </c>
      <c r="L18" t="inlineStr">
        <is>
          <t>stabilize</t>
        </is>
      </c>
      <c r="M18" t="inlineStr">
        <is>
          <t>F?</t>
        </is>
      </c>
      <c r="N18" t="inlineStr">
        <is>
          <t>45+/-10</t>
        </is>
      </c>
      <c r="O18" t="n">
        <v>1</v>
      </c>
      <c r="P18" t="inlineStr"/>
      <c r="Q18" t="inlineStr">
        <is>
          <t>cosmetic/status display; band appliances stabilize or replace anterior teeth, several of which were removed while healthy. Wearers predominantly female, sex usually inferred from tooth size.</t>
        </is>
      </c>
      <c r="R18" t="inlineStr">
        <is>
          <t>object (often without associated skeleton)</t>
        </is>
      </c>
      <c r="S18" t="inlineStr">
        <is>
          <t>Becker MJ, Turfa JM (2017). The Etruscans and the History of Dentistry, ch.5 Catalogue, Tables 5.8-5.14. Routledge.</t>
        </is>
      </c>
      <c r="T18" t="inlineStr">
        <is>
          <t>10.4324/9781315559254-6</t>
        </is>
      </c>
      <c r="U18" t="inlineStr">
        <is>
          <t>full text read</t>
        </is>
      </c>
    </row>
    <row r="19">
      <c r="A19" t="inlineStr">
        <is>
          <t>IV018</t>
        </is>
      </c>
      <c r="B19" t="inlineStr">
        <is>
          <t>Teano appliance - Teano, Tomb 18, Fondo Gradavola necropolis, Campania</t>
        </is>
      </c>
      <c r="C19" t="inlineStr">
        <is>
          <t>Campania</t>
        </is>
      </c>
      <c r="D19" t="inlineStr">
        <is>
          <t>Italy</t>
        </is>
      </c>
      <c r="E19" t="inlineStr">
        <is>
          <t>-399</t>
        </is>
      </c>
      <c r="F19" t="inlineStr">
        <is>
          <t>-250</t>
        </is>
      </c>
      <c r="G19" t="inlineStr">
        <is>
          <t>4th-3rd c.</t>
        </is>
      </c>
      <c r="H19" t="inlineStr">
        <is>
          <t>gold-band dental appliance</t>
        </is>
      </c>
      <c r="I19" t="inlineStr">
        <is>
          <t>gold; false tooth: probably original teeth, worn</t>
        </is>
      </c>
      <c r="J19" t="inlineStr">
        <is>
          <t>maxilla C-C, 6 rings</t>
        </is>
      </c>
      <c r="K19" t="inlineStr">
        <is>
          <t>maxilla</t>
        </is>
      </c>
      <c r="L19" t="inlineStr">
        <is>
          <t>stabilize</t>
        </is>
      </c>
      <c r="M19" t="inlineStr">
        <is>
          <t>F</t>
        </is>
      </c>
      <c r="N19" t="inlineStr"/>
      <c r="O19" t="n">
        <v>1</v>
      </c>
      <c r="P19" t="inlineStr"/>
      <c r="Q19" t="inlineStr">
        <is>
          <t>cosmetic/status display; band appliances stabilize or replace anterior teeth, several of which were removed while healthy. Wearers predominantly female, sex usually inferred from tooth size.</t>
        </is>
      </c>
      <c r="R19" t="inlineStr">
        <is>
          <t>object (often without associated skeleton)</t>
        </is>
      </c>
      <c r="S19" t="inlineStr">
        <is>
          <t>Becker MJ, Turfa JM (2017). The Etruscans and the History of Dentistry, ch.5 Catalogue, Tables 5.8-5.14. Routledge.</t>
        </is>
      </c>
      <c r="T19" t="inlineStr">
        <is>
          <t>10.4324/9781315559254-6</t>
        </is>
      </c>
      <c r="U19" t="inlineStr">
        <is>
          <t>full text read</t>
        </is>
      </c>
    </row>
    <row r="20">
      <c r="A20" t="inlineStr">
        <is>
          <t>IV019</t>
        </is>
      </c>
      <c r="B20" t="inlineStr">
        <is>
          <t>Eretria (W6) - Tomb at Eretria; Athens National Archaeological Museum</t>
        </is>
      </c>
      <c r="C20" t="inlineStr">
        <is>
          <t>Euboea</t>
        </is>
      </c>
      <c r="D20" t="inlineStr">
        <is>
          <t>Greece</t>
        </is>
      </c>
      <c r="E20" t="inlineStr">
        <is>
          <t>-399</t>
        </is>
      </c>
      <c r="F20" t="inlineStr">
        <is>
          <t>-300</t>
        </is>
      </c>
      <c r="G20" t="inlineStr">
        <is>
          <t>4th c. BCE</t>
        </is>
      </c>
      <c r="H20" t="inlineStr">
        <is>
          <t>wire dental appliance</t>
        </is>
      </c>
      <c r="I20" t="inlineStr">
        <is>
          <t>gold wire; human teeth, drilled</t>
        </is>
      </c>
      <c r="J20" t="inlineStr">
        <is>
          <t>mandible, 4 teeth I1 to PM1?, originally spanned 6; I2 and C drilled</t>
        </is>
      </c>
      <c r="K20" t="inlineStr">
        <is>
          <t>mandible</t>
        </is>
      </c>
      <c r="L20" t="inlineStr">
        <is>
          <t>replacement</t>
        </is>
      </c>
      <c r="M20" t="inlineStr">
        <is>
          <t>F??</t>
        </is>
      </c>
      <c r="N20" t="inlineStr"/>
      <c r="O20" t="n">
        <v>1</v>
      </c>
      <c r="P20" t="inlineStr"/>
      <c r="Q20" t="inlineStr">
        <is>
          <t>functional replacement or stabilization of teeth lost to periodontal disease. The Collatina piece is the only Roman-era example known from Rome or Italy; Becker notes that if such appliances had been common, more should have survived.</t>
        </is>
      </c>
      <c r="R20" t="inlineStr">
        <is>
          <t>object with associated remains</t>
        </is>
      </c>
      <c r="S20" t="inlineStr">
        <is>
          <t>Becker MJ, Turfa JM (2017). The Etruscans and the History of Dentistry, ch.5 Catalogue, Tables 5.8-5.14. Routledge.</t>
        </is>
      </c>
      <c r="T20" t="inlineStr">
        <is>
          <t>10.4324/9781315559254-6</t>
        </is>
      </c>
      <c r="U20" t="inlineStr">
        <is>
          <t>full text read</t>
        </is>
      </c>
    </row>
    <row r="21">
      <c r="A21" t="inlineStr">
        <is>
          <t>IV020</t>
        </is>
      </c>
      <c r="B21" t="inlineStr">
        <is>
          <t>Poggio Gaiella appliance - Chiusine necropolis, Poggio Gaiella</t>
        </is>
      </c>
      <c r="C21" t="inlineStr">
        <is>
          <t>Etruria</t>
        </is>
      </c>
      <c r="D21" t="inlineStr">
        <is>
          <t>Italy</t>
        </is>
      </c>
      <c r="E21" t="inlineStr">
        <is>
          <t>-399</t>
        </is>
      </c>
      <c r="F21" t="inlineStr">
        <is>
          <t>-300</t>
        </is>
      </c>
      <c r="G21" t="inlineStr">
        <is>
          <t>?4th-3rd c.</t>
        </is>
      </c>
      <c r="H21" t="inlineStr">
        <is>
          <t>gold-band dental appliance</t>
        </is>
      </c>
      <c r="I21" t="inlineStr">
        <is>
          <t>gold; false tooth: skull substituted</t>
        </is>
      </c>
      <c r="J21" t="inlineStr">
        <is>
          <t>maxilla 1PM-PM1, 8 teeth</t>
        </is>
      </c>
      <c r="K21" t="inlineStr">
        <is>
          <t>maxilla</t>
        </is>
      </c>
      <c r="L21" t="inlineStr">
        <is>
          <t>stabilize</t>
        </is>
      </c>
      <c r="M21" t="inlineStr">
        <is>
          <t>F</t>
        </is>
      </c>
      <c r="N21" t="inlineStr">
        <is>
          <t>25-40</t>
        </is>
      </c>
      <c r="O21" t="n">
        <v>1</v>
      </c>
      <c r="P21" t="inlineStr"/>
      <c r="Q21" t="inlineStr">
        <is>
          <t>cosmetic/status display; band appliances stabilize or replace anterior teeth, several of which were removed while healthy. Wearers predominantly female, sex usually inferred from tooth size.</t>
        </is>
      </c>
      <c r="R21" t="inlineStr">
        <is>
          <t>object (often without associated skeleton)</t>
        </is>
      </c>
      <c r="S21" t="inlineStr">
        <is>
          <t>Becker MJ, Turfa JM (2017). The Etruscans and the History of Dentistry, ch.5 Catalogue, Tables 5.8-5.14. Routledge.</t>
        </is>
      </c>
      <c r="T21" t="inlineStr">
        <is>
          <t>10.4324/9781315559254-6</t>
        </is>
      </c>
      <c r="U21" t="inlineStr">
        <is>
          <t>full text read</t>
        </is>
      </c>
    </row>
    <row r="22">
      <c r="A22" t="inlineStr">
        <is>
          <t>IV021</t>
        </is>
      </c>
      <c r="B22" t="inlineStr">
        <is>
          <t>Gaillardot (W1) - Sidon, Tomb XI Room 1 fosse b; Louvre</t>
        </is>
      </c>
      <c r="C22" t="inlineStr">
        <is>
          <t>Phoenicia</t>
        </is>
      </c>
      <c r="D22" t="inlineStr">
        <is>
          <t>Lebanon</t>
        </is>
      </c>
      <c r="E22" t="inlineStr">
        <is>
          <t>-375</t>
        </is>
      </c>
      <c r="F22" t="inlineStr">
        <is>
          <t>-350</t>
        </is>
      </c>
      <c r="G22" t="inlineStr">
        <is>
          <t>1st quarter 4th c. BCE</t>
        </is>
      </c>
      <c r="H22" t="inlineStr">
        <is>
          <t>wire dental appliance</t>
        </is>
      </c>
      <c r="I22" t="inlineStr">
        <is>
          <t>gold wire; 2 human incisors (I1,I2), 2 holes drilled in each</t>
        </is>
      </c>
      <c r="J22" t="inlineStr">
        <is>
          <t>mandible, 4 C to C, binding 6 teeth</t>
        </is>
      </c>
      <c r="K22" t="inlineStr">
        <is>
          <t>mandible</t>
        </is>
      </c>
      <c r="L22" t="inlineStr">
        <is>
          <t>replacement</t>
        </is>
      </c>
      <c r="M22" t="inlineStr">
        <is>
          <t>F</t>
        </is>
      </c>
      <c r="N22" t="inlineStr"/>
      <c r="O22" t="n">
        <v>1</v>
      </c>
      <c r="P22" t="inlineStr"/>
      <c r="Q22" t="inlineStr">
        <is>
          <t>functional replacement or stabilization of teeth lost to periodontal disease. The Collatina piece is the only Roman-era example known from Rome or Italy; Becker notes that if such appliances had been common, more should have survived.</t>
        </is>
      </c>
      <c r="R22" t="inlineStr">
        <is>
          <t>object with associated remains</t>
        </is>
      </c>
      <c r="S22" t="inlineStr">
        <is>
          <t>Becker MJ, Turfa JM (2017). The Etruscans and the History of Dentistry, ch.5 Catalogue, Tables 5.8-5.14. Routledge.</t>
        </is>
      </c>
      <c r="T22" t="inlineStr">
        <is>
          <t>10.4324/9781315559254-6</t>
        </is>
      </c>
      <c r="U22" t="inlineStr">
        <is>
          <t>full text read</t>
        </is>
      </c>
    </row>
    <row r="23">
      <c r="A23" t="inlineStr">
        <is>
          <t>IV022</t>
        </is>
      </c>
      <c r="B23" t="inlineStr">
        <is>
          <t>Tura el-Asmant (W5) - Tomb T-121, Ptolemaic necropolis; Cairo Museum?</t>
        </is>
      </c>
      <c r="C23" t="inlineStr">
        <is>
          <t>Egypt</t>
        </is>
      </c>
      <c r="D23" t="inlineStr">
        <is>
          <t>Egypt</t>
        </is>
      </c>
      <c r="E23" t="inlineStr">
        <is>
          <t>-304</t>
        </is>
      </c>
      <c r="F23" t="inlineStr">
        <is>
          <t>-30</t>
        </is>
      </c>
      <c r="G23" t="inlineStr">
        <is>
          <t>Ptolemaic</t>
        </is>
      </c>
      <c r="H23" t="inlineStr">
        <is>
          <t>wire dental appliance</t>
        </is>
      </c>
      <c r="I23" t="inlineStr">
        <is>
          <t>silver wire (2 wires); owner's R central incisor returned to mouth, drilled, root modified</t>
        </is>
      </c>
      <c r="J23" t="inlineStr">
        <is>
          <t>maxilla, severe malocclusion; I1 necrotic, abscess at R central incisor</t>
        </is>
      </c>
      <c r="K23" t="inlineStr">
        <is>
          <t>maxilla</t>
        </is>
      </c>
      <c r="L23" t="inlineStr">
        <is>
          <t>replacement</t>
        </is>
      </c>
      <c r="M23" t="inlineStr">
        <is>
          <t>M??</t>
        </is>
      </c>
      <c r="N23" t="inlineStr">
        <is>
          <t>young adult?</t>
        </is>
      </c>
      <c r="O23" t="n">
        <v>1</v>
      </c>
      <c r="P23" t="inlineStr"/>
      <c r="Q23" t="inlineStr">
        <is>
          <t>functional replacement or stabilization of teeth lost to periodontal disease. The Collatina piece is the only Roman-era example known from Rome or Italy; Becker notes that if such appliances had been common, more should have survived.</t>
        </is>
      </c>
      <c r="R23" t="inlineStr">
        <is>
          <t>object with associated remains</t>
        </is>
      </c>
      <c r="S23" t="inlineStr">
        <is>
          <t>Becker MJ, Turfa JM (2017). The Etruscans and the History of Dentistry, ch.5 Catalogue, Tables 5.8-5.14. Routledge.</t>
        </is>
      </c>
      <c r="T23" t="inlineStr">
        <is>
          <t>10.4324/9781315559254-6</t>
        </is>
      </c>
      <c r="U23" t="inlineStr">
        <is>
          <t>full text read</t>
        </is>
      </c>
    </row>
    <row r="24">
      <c r="A24" t="inlineStr">
        <is>
          <t>IV023</t>
        </is>
      </c>
      <c r="B24" t="inlineStr">
        <is>
          <t>Sardis appliance - Sahlili "ancient Sardis", found in a tomb</t>
        </is>
      </c>
      <c r="C24" t="inlineStr">
        <is>
          <t>Lydia</t>
        </is>
      </c>
      <c r="D24" t="inlineStr">
        <is>
          <t>Turkey</t>
        </is>
      </c>
      <c r="E24" t="inlineStr">
        <is>
          <t>-299</t>
        </is>
      </c>
      <c r="F24" t="inlineStr">
        <is>
          <t>-200</t>
        </is>
      </c>
      <c r="G24" t="inlineStr">
        <is>
          <t>3rd c.?</t>
        </is>
      </c>
      <c r="H24" t="inlineStr">
        <is>
          <t>gold-band dental appliance</t>
        </is>
      </c>
      <c r="I24" t="inlineStr">
        <is>
          <t>gold; false tooth: owner's teeth filed down; tartar on both replacements</t>
        </is>
      </c>
      <c r="J24" t="inlineStr">
        <is>
          <t>maxilla + mandible; 2 central incisors false, 2 second incisors as anchors</t>
        </is>
      </c>
      <c r="K24" t="inlineStr">
        <is>
          <t>maxilla</t>
        </is>
      </c>
      <c r="L24" t="inlineStr">
        <is>
          <t>replacement</t>
        </is>
      </c>
      <c r="M24" t="inlineStr">
        <is>
          <t>F</t>
        </is>
      </c>
      <c r="N24" t="inlineStr">
        <is>
          <t>25-40</t>
        </is>
      </c>
      <c r="O24" t="n">
        <v>1</v>
      </c>
      <c r="P24" t="inlineStr"/>
      <c r="Q24" t="inlineStr">
        <is>
          <t>cosmetic/status display; band appliances stabilize or replace anterior teeth, several of which were removed while healthy. Wearers predominantly female, sex usually inferred from tooth size.</t>
        </is>
      </c>
      <c r="R24" t="inlineStr">
        <is>
          <t>object (often without associated skeleton)</t>
        </is>
      </c>
      <c r="S24" t="inlineStr">
        <is>
          <t>Becker MJ, Turfa JM (2017). The Etruscans and the History of Dentistry, ch.5 Catalogue, Tables 5.8-5.14. Routledge.</t>
        </is>
      </c>
      <c r="T24" t="inlineStr">
        <is>
          <t>10.4324/9781315559254-6</t>
        </is>
      </c>
      <c r="U24" t="inlineStr">
        <is>
          <t>full text read</t>
        </is>
      </c>
    </row>
    <row r="25">
      <c r="A25" t="inlineStr">
        <is>
          <t>IV024</t>
        </is>
      </c>
      <c r="B25" t="inlineStr">
        <is>
          <t>Bruschi III appliance - Territory of Tarquinia?</t>
        </is>
      </c>
      <c r="C25" t="inlineStr">
        <is>
          <t>Etruria</t>
        </is>
      </c>
      <c r="D25" t="inlineStr">
        <is>
          <t>Italy</t>
        </is>
      </c>
      <c r="E25" t="inlineStr">
        <is>
          <t>-199</t>
        </is>
      </c>
      <c r="F25" t="inlineStr">
        <is>
          <t>-100</t>
        </is>
      </c>
      <c r="G25" t="inlineStr">
        <is>
          <t>2nd c.??</t>
        </is>
      </c>
      <c r="H25" t="inlineStr">
        <is>
          <t>gold-band dental appliance</t>
        </is>
      </c>
      <c r="I25" t="inlineStr">
        <is>
          <t>gold; false tooth: teeth now associated are recent</t>
        </is>
      </c>
      <c r="J25" t="inlineStr">
        <is>
          <t>maxilla</t>
        </is>
      </c>
      <c r="K25" t="inlineStr">
        <is>
          <t>maxilla</t>
        </is>
      </c>
      <c r="L25" t="inlineStr">
        <is>
          <t>stabilize</t>
        </is>
      </c>
      <c r="M25" t="inlineStr">
        <is>
          <t>F</t>
        </is>
      </c>
      <c r="N25" t="inlineStr"/>
      <c r="O25" t="n">
        <v>1</v>
      </c>
      <c r="P25" t="inlineStr"/>
      <c r="Q25" t="inlineStr">
        <is>
          <t>cosmetic/status display; band appliances stabilize or replace anterior teeth, several of which were removed while healthy. Wearers predominantly female, sex usually inferred from tooth size.</t>
        </is>
      </c>
      <c r="R25" t="inlineStr">
        <is>
          <t>object (often without associated skeleton)</t>
        </is>
      </c>
      <c r="S25" t="inlineStr">
        <is>
          <t>Becker MJ, Turfa JM (2017). The Etruscans and the History of Dentistry, ch.5 Catalogue, Tables 5.8-5.14. Routledge.</t>
        </is>
      </c>
      <c r="T25" t="inlineStr">
        <is>
          <t>10.4324/9781315559254-6</t>
        </is>
      </c>
      <c r="U25" t="inlineStr">
        <is>
          <t>full text read</t>
        </is>
      </c>
    </row>
    <row r="26">
      <c r="A26" t="inlineStr">
        <is>
          <t>IV025</t>
        </is>
      </c>
      <c r="B26" t="inlineStr">
        <is>
          <t>El-Qatta (W4) - El-Qatta Tomb 90, reused mastaba shaft 5; Cairo Museum?</t>
        </is>
      </c>
      <c r="C26" t="inlineStr">
        <is>
          <t>Egypt</t>
        </is>
      </c>
      <c r="D26" t="inlineStr">
        <is>
          <t>Egypt</t>
        </is>
      </c>
      <c r="E26" t="inlineStr">
        <is>
          <t>1</t>
        </is>
      </c>
      <c r="F26" t="inlineStr">
        <is>
          <t>299</t>
        </is>
      </c>
      <c r="G26" t="inlineStr">
        <is>
          <t>Roman</t>
        </is>
      </c>
      <c r="H26" t="inlineStr">
        <is>
          <t>wire dental appliance</t>
        </is>
      </c>
      <c r="I26" t="inlineStr">
        <is>
          <t>gold wire; 1 tooth drilled</t>
        </is>
      </c>
      <c r="J26" t="inlineStr">
        <is>
          <t>maxilla, 3 teeth wired in series, anchored on R canine and incisor</t>
        </is>
      </c>
      <c r="K26" t="inlineStr">
        <is>
          <t>maxilla</t>
        </is>
      </c>
      <c r="L26" t="inlineStr">
        <is>
          <t>replacement</t>
        </is>
      </c>
      <c r="M26" t="inlineStr">
        <is>
          <t>?</t>
        </is>
      </c>
      <c r="N26" t="inlineStr"/>
      <c r="O26" t="n">
        <v>1</v>
      </c>
      <c r="P26" t="inlineStr"/>
      <c r="Q26" t="inlineStr">
        <is>
          <t>functional replacement or stabilization of teeth lost to periodontal disease. The Collatina piece is the only Roman-era example known from Rome or Italy; Becker notes that if such appliances had been common, more should have survived.</t>
        </is>
      </c>
      <c r="R26" t="inlineStr">
        <is>
          <t>object with associated remains</t>
        </is>
      </c>
      <c r="S26" t="inlineStr">
        <is>
          <t>Becker MJ, Turfa JM (2017). The Etruscans and the History of Dentistry, ch.5 Catalogue, Tables 5.8-5.14. Routledge.</t>
        </is>
      </c>
      <c r="T26" t="inlineStr">
        <is>
          <t>10.4324/9781315559254-6</t>
        </is>
      </c>
      <c r="U26" t="inlineStr">
        <is>
          <t>full text read</t>
        </is>
      </c>
    </row>
    <row r="27">
      <c r="A27" t="inlineStr">
        <is>
          <t>IV026</t>
        </is>
      </c>
      <c r="B27" t="inlineStr">
        <is>
          <t>Rome / Collatina (W7) - Collatina necropolis, Via Collatina; Palazzo Altemps, Rome</t>
        </is>
      </c>
      <c r="C27" t="inlineStr">
        <is>
          <t>Latium</t>
        </is>
      </c>
      <c r="D27" t="inlineStr">
        <is>
          <t>Italy</t>
        </is>
      </c>
      <c r="E27" t="inlineStr">
        <is>
          <t>1</t>
        </is>
      </c>
      <c r="F27" t="inlineStr">
        <is>
          <t>199</t>
        </is>
      </c>
      <c r="G27" t="inlineStr">
        <is>
          <t>Imperial Roman, 1st-2nd c. CE</t>
        </is>
      </c>
      <c r="H27" t="inlineStr">
        <is>
          <t>wire dental appliance</t>
        </is>
      </c>
      <c r="I27" t="inlineStr">
        <is>
          <t>gold wire (&lt;1 mm diameter, c.100 mm length); original tooth re-placed, drilled with c.2 mm mesio-distal hole, root filed down</t>
        </is>
      </c>
      <c r="J27" t="inlineStr">
        <is>
          <t>mandible, spanning 5 teeth; R central incisor lost to periodontal disease</t>
        </is>
      </c>
      <c r="K27" t="inlineStr">
        <is>
          <t>mandible</t>
        </is>
      </c>
      <c r="L27" t="inlineStr">
        <is>
          <t>replacement</t>
        </is>
      </c>
      <c r="M27" t="inlineStr">
        <is>
          <t>F</t>
        </is>
      </c>
      <c r="N27" t="inlineStr">
        <is>
          <t>c.50</t>
        </is>
      </c>
      <c r="O27" t="n">
        <v>1</v>
      </c>
      <c r="P27" t="inlineStr"/>
      <c r="Q27" t="inlineStr">
        <is>
          <t>functional replacement or stabilization of teeth lost to periodontal disease. The Collatina piece is the only Roman-era example known from Rome or Italy; Becker notes that if such appliances had been common, more should have survived.</t>
        </is>
      </c>
      <c r="R27" t="inlineStr">
        <is>
          <t>object with associated remains</t>
        </is>
      </c>
      <c r="S27" t="inlineStr">
        <is>
          <t>Becker MJ, Turfa JM (2017). The Etruscans and the History of Dentistry, ch.5 Catalogue, Tables 5.8-5.14. Routledge.</t>
        </is>
      </c>
      <c r="T27" t="inlineStr">
        <is>
          <t>10.4324/9781315559254-6</t>
        </is>
      </c>
      <c r="U27" t="inlineStr">
        <is>
          <t>full text read</t>
        </is>
      </c>
    </row>
    <row r="28">
      <c r="A28" t="inlineStr">
        <is>
          <t>IV027</t>
        </is>
      </c>
      <c r="B28" t="inlineStr">
        <is>
          <t>Alexandria (W3) - Ibrahimieh Tomb 1; Greco-Roman Museum, Alexandria</t>
        </is>
      </c>
      <c r="C28" t="inlineStr">
        <is>
          <t>Egypt</t>
        </is>
      </c>
      <c r="D28" t="inlineStr">
        <is>
          <t>Egypt</t>
        </is>
      </c>
      <c r="E28" t="inlineStr">
        <is>
          <t>1</t>
        </is>
      </c>
      <c r="F28" t="inlineStr">
        <is>
          <t>99</t>
        </is>
      </c>
      <c r="G28" t="inlineStr">
        <is>
          <t>Roman, 1st c. CE</t>
        </is>
      </c>
      <c r="H28" t="inlineStr">
        <is>
          <t>wire dental appliance</t>
        </is>
      </c>
      <c r="I28" t="inlineStr">
        <is>
          <t>gold wire</t>
        </is>
      </c>
      <c r="J28" t="inlineStr">
        <is>
          <t>mandible, 3 teeth I1 to C?, poor condition</t>
        </is>
      </c>
      <c r="K28" t="inlineStr">
        <is>
          <t>mandible</t>
        </is>
      </c>
      <c r="L28" t="inlineStr">
        <is>
          <t>stabilize</t>
        </is>
      </c>
      <c r="M28" t="inlineStr">
        <is>
          <t>?</t>
        </is>
      </c>
      <c r="N28" t="inlineStr"/>
      <c r="O28" t="n">
        <v>1</v>
      </c>
      <c r="P28" t="inlineStr"/>
      <c r="Q28" t="inlineStr">
        <is>
          <t>functional replacement or stabilization of teeth lost to periodontal disease. The Collatina piece is the only Roman-era example known from Rome or Italy; Becker notes that if such appliances had been common, more should have survived.</t>
        </is>
      </c>
      <c r="R28" t="inlineStr">
        <is>
          <t>object with associated remains</t>
        </is>
      </c>
      <c r="S28" t="inlineStr">
        <is>
          <t>Becker MJ, Turfa JM (2017). The Etruscans and the History of Dentistry, ch.5 Catalogue, Tables 5.8-5.14. Routledge.</t>
        </is>
      </c>
      <c r="T28" t="inlineStr">
        <is>
          <t>10.4324/9781315559254-6</t>
        </is>
      </c>
      <c r="U28" t="inlineStr">
        <is>
          <t>full text read</t>
        </is>
      </c>
    </row>
    <row r="29">
      <c r="A29" t="inlineStr">
        <is>
          <t>IV028</t>
        </is>
      </c>
      <c r="B29" t="inlineStr">
        <is>
          <t>Lidoriki</t>
        </is>
      </c>
      <c r="C29" t="inlineStr">
        <is>
          <t>Phocis</t>
        </is>
      </c>
      <c r="D29" t="inlineStr">
        <is>
          <t>Greece</t>
        </is>
      </c>
      <c r="E29" t="inlineStr">
        <is>
          <t>100</t>
        </is>
      </c>
      <c r="F29" t="inlineStr">
        <is>
          <t>199</t>
        </is>
      </c>
      <c r="G29" t="inlineStr">
        <is>
          <t>2nd century AD</t>
        </is>
      </c>
      <c r="H29" t="inlineStr">
        <is>
          <t>extraction instrument</t>
        </is>
      </c>
      <c r="I29" t="inlineStr">
        <is>
          <t>iron/metal forceps</t>
        </is>
      </c>
      <c r="J29" t="inlineStr">
        <is>
          <t>n/a - instrument</t>
        </is>
      </c>
      <c r="K29" t="inlineStr"/>
      <c r="L29" t="inlineStr">
        <is>
          <t>therapeutic</t>
        </is>
      </c>
      <c r="M29" t="inlineStr"/>
      <c r="N29" t="inlineStr"/>
      <c r="O29" t="n">
        <v>1</v>
      </c>
      <c r="P29" t="inlineStr"/>
      <c r="Q29" t="inlineStr">
        <is>
          <t>a pair of Greek dental forceps; instrument evidence for extraction practice rather than a treated individual. Wellcome Collection.</t>
        </is>
      </c>
      <c r="R29" t="inlineStr">
        <is>
          <t>instrument</t>
        </is>
      </c>
      <c r="S29" t="inlineStr">
        <is>
          <t>Forshaw R (2026). Dentistry and dental care in antiquity: part 2 - Egypt and the Graeco-Roman World. Br Dent J 240(1):45-50.</t>
        </is>
      </c>
      <c r="T29" t="inlineStr">
        <is>
          <t>10.1038/s41415-025-8883-0</t>
        </is>
      </c>
      <c r="U29" t="inlineStr">
        <is>
          <t>full text read</t>
        </is>
      </c>
    </row>
    <row r="30">
      <c r="A30" t="inlineStr">
        <is>
          <t>IV029</t>
        </is>
      </c>
      <c r="B30" t="inlineStr">
        <is>
          <t>Pieve di Pava</t>
        </is>
      </c>
      <c r="C30" t="inlineStr">
        <is>
          <t>Tuscany</t>
        </is>
      </c>
      <c r="D30" t="inlineStr">
        <is>
          <t>Italy</t>
        </is>
      </c>
      <c r="E30" t="inlineStr">
        <is>
          <t>900</t>
        </is>
      </c>
      <c r="F30" t="inlineStr">
        <is>
          <t>1200</t>
        </is>
      </c>
      <c r="G30" t="inlineStr">
        <is>
          <t>10th-12th c. AD</t>
        </is>
      </c>
      <c r="H30" t="inlineStr">
        <is>
          <t>interproximal grooving (toothpick)</t>
        </is>
      </c>
      <c r="I30" t="inlineStr">
        <is>
          <t>unidentified probe/toothpick</t>
        </is>
      </c>
      <c r="J30" t="inlineStr">
        <is>
          <t>maxillary I1-I2 mesial surfaces, both sides, above the dental neck (NOT at the cemento-enamel junction)</t>
        </is>
      </c>
      <c r="K30" t="inlineStr">
        <is>
          <t>maxilla</t>
        </is>
      </c>
      <c r="L30" t="inlineStr">
        <is>
          <t>palliative</t>
        </is>
      </c>
      <c r="M30" t="inlineStr">
        <is>
          <t>M</t>
        </is>
      </c>
      <c r="N30" t="inlineStr">
        <is>
          <t>old adult (45+)</t>
        </is>
      </c>
      <c r="O30" t="n">
        <v>1</v>
      </c>
      <c r="P30" t="inlineStr">
        <is>
          <t>204</t>
        </is>
      </c>
      <c r="Q30" t="inlineStr">
        <is>
          <t>repeated toothpicking against periodontal disease: c.2 mm alveolar resorption, ragged porous alveolar margin, no caries or abscesses. 4222 teeth examined. EXCLUDED from this layer: notching 46.1% and chipping 53.4% (wool-fibre processing) and LSAMAT 16.2% (leatherworking) - occupational, not intervention.</t>
        </is>
      </c>
      <c r="R30" t="inlineStr">
        <is>
          <t>skeletal</t>
        </is>
      </c>
      <c r="S30" t="inlineStr">
        <is>
          <t>Monaco M, Riccomi G, Minozzi S, Campana S, Giuffra V (2022). Arch Oral Biol 140:105449.</t>
        </is>
      </c>
      <c r="T30" t="inlineStr">
        <is>
          <t>10.1016/j.archoralbio.2022.105449</t>
        </is>
      </c>
      <c r="U30" t="inlineStr">
        <is>
          <t>full text read</t>
        </is>
      </c>
    </row>
    <row r="31">
      <c r="A31" t="inlineStr">
        <is>
          <t>IV030</t>
        </is>
      </c>
      <c r="B31" t="inlineStr">
        <is>
          <t>Villamagna</t>
        </is>
      </c>
      <c r="C31" t="inlineStr">
        <is>
          <t>Latium</t>
        </is>
      </c>
      <c r="D31" t="inlineStr">
        <is>
          <t>Italy</t>
        </is>
      </c>
      <c r="E31" t="inlineStr">
        <is>
          <t>1350</t>
        </is>
      </c>
      <c r="F31" t="inlineStr">
        <is>
          <t>1500</t>
        </is>
      </c>
      <c r="G31" t="inlineStr">
        <is>
          <t>late medieval</t>
        </is>
      </c>
      <c r="H31" t="inlineStr">
        <is>
          <t>interproximal grooving (toothpick)</t>
        </is>
      </c>
      <c r="I31" t="inlineStr">
        <is>
          <t>exogenous implement</t>
        </is>
      </c>
      <c r="J31" t="inlineStr">
        <is>
          <t>left maxillary second premolar</t>
        </is>
      </c>
      <c r="K31" t="inlineStr">
        <is>
          <t>maxilla</t>
        </is>
      </c>
      <c r="L31" t="inlineStr">
        <is>
          <t>palliative</t>
        </is>
      </c>
      <c r="M31" t="inlineStr"/>
      <c r="N31" t="inlineStr"/>
      <c r="O31" t="n">
        <v>1</v>
      </c>
      <c r="P31" t="inlineStr"/>
      <c r="Q31" t="inlineStr">
        <is>
          <t>semicircular groove with parallel micro-striae, bucco-lingual, on the tubular shape of the defect; ascribed to an implement abrading the root surface for hygienic or palliative reasons</t>
        </is>
      </c>
      <c r="R31" t="inlineStr">
        <is>
          <t>skeletal</t>
        </is>
      </c>
      <c r="S31" t="inlineStr">
        <is>
          <t>Trombley et al. (2018), cited in Monaco et al. 2022.</t>
        </is>
      </c>
      <c r="T31" t="inlineStr">
        <is>
          <t>via 10.1016/j.archoralbio.2022.105449</t>
        </is>
      </c>
      <c r="U31" t="inlineStr">
        <is>
          <t>secondary source</t>
        </is>
      </c>
    </row>
    <row r="32">
      <c r="A32" t="inlineStr">
        <is>
          <t>IV031</t>
        </is>
      </c>
      <c r="B32" t="inlineStr">
        <is>
          <t>East Kirk of St Nicholas, Aberdeen</t>
        </is>
      </c>
      <c r="C32" t="inlineStr">
        <is>
          <t>Scotland</t>
        </is>
      </c>
      <c r="D32" t="inlineStr">
        <is>
          <t>UK</t>
        </is>
      </c>
      <c r="E32" t="inlineStr">
        <is>
          <t>1460</t>
        </is>
      </c>
      <c r="F32" t="inlineStr">
        <is>
          <t>1670</t>
        </is>
      </c>
      <c r="G32" t="inlineStr">
        <is>
          <t>radiocarbon dated</t>
        </is>
      </c>
      <c r="H32" t="inlineStr">
        <is>
          <t>gold ligature / bridge</t>
        </is>
      </c>
      <c r="I32" t="inlineStr">
        <is>
          <t>20-carat gold wire (82.4% Au, 9.8% Ag, 2.5% Cu)</t>
        </is>
      </c>
      <c r="J32" t="inlineStr">
        <is>
          <t>right lateral and left central mandibular incisors, bridging the antemortem-lost right central incisor</t>
        </is>
      </c>
      <c r="K32" t="inlineStr">
        <is>
          <t>mandible</t>
        </is>
      </c>
      <c r="L32" t="inlineStr">
        <is>
          <t>replacement</t>
        </is>
      </c>
      <c r="M32" t="inlineStr">
        <is>
          <t>M</t>
        </is>
      </c>
      <c r="N32" t="inlineStr">
        <is>
          <t>middle adult</t>
        </is>
      </c>
      <c r="O32" t="n">
        <v>1</v>
      </c>
      <c r="P32" t="inlineStr">
        <is>
          <t>100</t>
        </is>
      </c>
      <c r="Q32" t="inlineStr">
        <is>
          <t>bridging an antemortem tooth loss. The only individual with any evidence of dental work among 100 Early Modern individuals from the same church.</t>
        </is>
      </c>
      <c r="R32" t="inlineStr">
        <is>
          <t>skeletal</t>
        </is>
      </c>
      <c r="S32" t="inlineStr">
        <is>
          <t>Dittmar JM, Crozier R, Cameron A, Mann B, Oxenham MF (2026). Br Dent J 240(8):555-559.</t>
        </is>
      </c>
      <c r="T32" t="inlineStr">
        <is>
          <t>10.1038/s41415-025-9107-3</t>
        </is>
      </c>
      <c r="U32" t="inlineStr">
        <is>
          <t>full text read</t>
        </is>
      </c>
    </row>
    <row r="33">
      <c r="A33" t="inlineStr">
        <is>
          <t>IV032</t>
        </is>
      </c>
      <c r="B33" t="inlineStr">
        <is>
          <t>St Bride's lower churchyard, Fleet Street, London</t>
        </is>
      </c>
      <c r="C33" t="inlineStr">
        <is>
          <t>England</t>
        </is>
      </c>
      <c r="D33" t="inlineStr">
        <is>
          <t>UK</t>
        </is>
      </c>
      <c r="E33" t="inlineStr">
        <is>
          <t>1770</t>
        </is>
      </c>
      <c r="F33" t="inlineStr">
        <is>
          <t>1849</t>
        </is>
      </c>
      <c r="G33" t="inlineStr"/>
      <c r="H33" t="inlineStr">
        <is>
          <t>filling</t>
        </is>
      </c>
      <c r="I33" t="inlineStr">
        <is>
          <t>gold</t>
        </is>
      </c>
      <c r="J33" t="inlineStr">
        <is>
          <t>right maxillary first molar</t>
        </is>
      </c>
      <c r="K33" t="inlineStr">
        <is>
          <t>maxilla</t>
        </is>
      </c>
      <c r="L33" t="inlineStr">
        <is>
          <t>therapeutic</t>
        </is>
      </c>
      <c r="M33" t="inlineStr">
        <is>
          <t>M</t>
        </is>
      </c>
      <c r="N33" t="inlineStr">
        <is>
          <t>36-45</t>
        </is>
      </c>
      <c r="O33" t="n">
        <v>1</v>
      </c>
      <c r="P33" t="inlineStr"/>
      <c r="Q33" t="inlineStr">
        <is>
          <t>first gold filling recorded in the museum skeletal collection</t>
        </is>
      </c>
      <c r="R33" t="inlineStr">
        <is>
          <t>skeletal</t>
        </is>
      </c>
      <c r="S33" t="inlineStr">
        <is>
          <t>London Museum, "Testy teeth! Dental interventions in 19th-century London" (museum blog).</t>
        </is>
      </c>
      <c r="T33" t="inlineStr">
        <is>
          <t>londonmuseum.org.uk blog</t>
        </is>
      </c>
      <c r="U33" t="inlineStr">
        <is>
          <t>museum/press account</t>
        </is>
      </c>
    </row>
    <row r="34">
      <c r="A34" t="inlineStr">
        <is>
          <t>IV033</t>
        </is>
      </c>
      <c r="B34" t="inlineStr">
        <is>
          <t>St Nicholas' Church, Sevenoaks, Kent</t>
        </is>
      </c>
      <c r="C34" t="inlineStr">
        <is>
          <t>England</t>
        </is>
      </c>
      <c r="D34" t="inlineStr">
        <is>
          <t>UK</t>
        </is>
      </c>
      <c r="E34" t="inlineStr">
        <is>
          <t>1798</t>
        </is>
      </c>
      <c r="F34" t="inlineStr">
        <is>
          <t>1825</t>
        </is>
      </c>
      <c r="G34" t="inlineStr">
        <is>
          <t>probably Lord Charles Whitworth</t>
        </is>
      </c>
      <c r="H34" t="inlineStr">
        <is>
          <t>filling</t>
        </is>
      </c>
      <c r="I34" t="inlineStr">
        <is>
          <t>tin</t>
        </is>
      </c>
      <c r="J34" t="inlineStr">
        <is>
          <t>upper left second molar (occlusal)</t>
        </is>
      </c>
      <c r="K34" t="inlineStr">
        <is>
          <t>maxilla</t>
        </is>
      </c>
      <c r="L34" t="inlineStr">
        <is>
          <t>therapeutic</t>
        </is>
      </c>
      <c r="M34" t="inlineStr">
        <is>
          <t>M</t>
        </is>
      </c>
      <c r="N34" t="inlineStr"/>
      <c r="O34" t="n">
        <v>1</v>
      </c>
      <c r="P34" t="inlineStr"/>
      <c r="Q34" t="inlineStr">
        <is>
          <t>carious tissue removed with a spoon-shaped implement. Same individual also shows labial enamel erosion on all anterior teeth from an acid tincture or abrasive whitening agent.</t>
        </is>
      </c>
      <c r="R34" t="inlineStr">
        <is>
          <t>skeletal</t>
        </is>
      </c>
      <c r="S34" t="inlineStr">
        <is>
          <t>Cox M, Chandler J, Boyle A, Kneller P, Haslam R (2000). Br Dent J 189(11):593-596.</t>
        </is>
      </c>
      <c r="T34" t="inlineStr">
        <is>
          <t>10.1038/sj.bdj.4800839</t>
        </is>
      </c>
      <c r="U34" t="inlineStr">
        <is>
          <t>full text read</t>
        </is>
      </c>
    </row>
    <row r="35">
      <c r="A35" t="inlineStr">
        <is>
          <t>IV034</t>
        </is>
      </c>
      <c r="B35" t="inlineStr">
        <is>
          <t>St Nicholas' Church, Sevenoaks, Kent</t>
        </is>
      </c>
      <c r="C35" t="inlineStr">
        <is>
          <t>England</t>
        </is>
      </c>
      <c r="D35" t="inlineStr">
        <is>
          <t>UK</t>
        </is>
      </c>
      <c r="E35" t="inlineStr">
        <is>
          <t>1798</t>
        </is>
      </c>
      <c r="F35" t="inlineStr">
        <is>
          <t>1825</t>
        </is>
      </c>
      <c r="G35" t="inlineStr">
        <is>
          <t>probably Lord Charles Whitworth</t>
        </is>
      </c>
      <c r="H35" t="inlineStr">
        <is>
          <t>filling</t>
        </is>
      </c>
      <c r="I35" t="inlineStr">
        <is>
          <t>gold foil</t>
        </is>
      </c>
      <c r="J35" t="inlineStr">
        <is>
          <t>upper left canine (cervical, labial)</t>
        </is>
      </c>
      <c r="K35" t="inlineStr">
        <is>
          <t>maxilla</t>
        </is>
      </c>
      <c r="L35" t="inlineStr">
        <is>
          <t>therapeutic</t>
        </is>
      </c>
      <c r="M35" t="inlineStr">
        <is>
          <t>M</t>
        </is>
      </c>
      <c r="N35" t="inlineStr"/>
      <c r="O35" t="n">
        <v>1</v>
      </c>
      <c r="P35" t="inlineStr"/>
      <c r="Q35" t="inlineStr">
        <is>
          <t>carious tissue removed with a spoon-shaped implement. Same individual also shows labial enamel erosion on all anterior teeth from an acid tincture or abrasive whitening agent.</t>
        </is>
      </c>
      <c r="R35" t="inlineStr">
        <is>
          <t>skeletal</t>
        </is>
      </c>
      <c r="S35" t="inlineStr">
        <is>
          <t>Cox M, Chandler J, Boyle A, Kneller P, Haslam R (2000). Br Dent J 189(11):593-596.</t>
        </is>
      </c>
      <c r="T35" t="inlineStr">
        <is>
          <t>10.1038/sj.bdj.4800839</t>
        </is>
      </c>
      <c r="U35" t="inlineStr">
        <is>
          <t>full text read</t>
        </is>
      </c>
    </row>
    <row r="36">
      <c r="A36" t="inlineStr">
        <is>
          <t>IV035</t>
        </is>
      </c>
      <c r="B36" t="inlineStr">
        <is>
          <t>St Nicholas' Church, Sevenoaks, Kent</t>
        </is>
      </c>
      <c r="C36" t="inlineStr">
        <is>
          <t>England</t>
        </is>
      </c>
      <c r="D36" t="inlineStr">
        <is>
          <t>UK</t>
        </is>
      </c>
      <c r="E36" t="inlineStr">
        <is>
          <t>1798</t>
        </is>
      </c>
      <c r="F36" t="inlineStr">
        <is>
          <t>1825</t>
        </is>
      </c>
      <c r="G36" t="inlineStr">
        <is>
          <t>probably Lord Charles Whitworth</t>
        </is>
      </c>
      <c r="H36" t="inlineStr">
        <is>
          <t>filling</t>
        </is>
      </c>
      <c r="I36" t="inlineStr">
        <is>
          <t>gold foil</t>
        </is>
      </c>
      <c r="J36" t="inlineStr">
        <is>
          <t>upper right second molar (occlusal)</t>
        </is>
      </c>
      <c r="K36" t="inlineStr">
        <is>
          <t>maxilla</t>
        </is>
      </c>
      <c r="L36" t="inlineStr">
        <is>
          <t>therapeutic</t>
        </is>
      </c>
      <c r="M36" t="inlineStr">
        <is>
          <t>M</t>
        </is>
      </c>
      <c r="N36" t="inlineStr"/>
      <c r="O36" t="n">
        <v>1</v>
      </c>
      <c r="P36" t="inlineStr"/>
      <c r="Q36" t="inlineStr">
        <is>
          <t>carious tissue removed with a spoon-shaped implement. Same individual also shows labial enamel erosion on all anterior teeth from an acid tincture or abrasive whitening agent.</t>
        </is>
      </c>
      <c r="R36" t="inlineStr">
        <is>
          <t>skeletal</t>
        </is>
      </c>
      <c r="S36" t="inlineStr">
        <is>
          <t>Cox M, Chandler J, Boyle A, Kneller P, Haslam R (2000). Br Dent J 189(11):593-596.</t>
        </is>
      </c>
      <c r="T36" t="inlineStr">
        <is>
          <t>10.1038/sj.bdj.4800839</t>
        </is>
      </c>
      <c r="U36" t="inlineStr">
        <is>
          <t>full text read</t>
        </is>
      </c>
    </row>
    <row r="37">
      <c r="A37" t="inlineStr">
        <is>
          <t>IV036</t>
        </is>
      </c>
      <c r="B37" t="inlineStr">
        <is>
          <t>Middenbeemster</t>
        </is>
      </c>
      <c r="C37" t="inlineStr">
        <is>
          <t>North Holland</t>
        </is>
      </c>
      <c r="D37" t="inlineStr">
        <is>
          <t>Netherlands</t>
        </is>
      </c>
      <c r="E37" t="inlineStr">
        <is>
          <t>1800</t>
        </is>
      </c>
      <c r="F37" t="inlineStr">
        <is>
          <t>1899</t>
        </is>
      </c>
      <c r="G37" t="inlineStr">
        <is>
          <t>individual S404</t>
        </is>
      </c>
      <c r="H37" t="inlineStr">
        <is>
          <t>partial denture</t>
        </is>
      </c>
      <c r="I37" t="inlineStr">
        <is>
          <t>three teeth carved from bone</t>
        </is>
      </c>
      <c r="J37" t="inlineStr">
        <is>
          <t>mandibular incisors, at LI1 / RI1 / RI2</t>
        </is>
      </c>
      <c r="K37" t="inlineStr">
        <is>
          <t>mandible</t>
        </is>
      </c>
      <c r="L37" t="inlineStr">
        <is>
          <t>replacement</t>
        </is>
      </c>
      <c r="M37" t="inlineStr">
        <is>
          <t>M</t>
        </is>
      </c>
      <c r="N37" t="inlineStr">
        <is>
          <t>26-35</t>
        </is>
      </c>
      <c r="O37" t="n">
        <v>1</v>
      </c>
      <c r="P37" t="inlineStr">
        <is>
          <t>450</t>
        </is>
      </c>
      <c r="Q37" t="inlineStr">
        <is>
          <t>tiny holes drilled antero-posteriorly on the inferior outer edge anchored the prosthetic. Calculus on the lingual surface and a smooth underlying alveolus show it was worn for some time. 2 of c.450 skeletons in the churchyard had dentures.</t>
        </is>
      </c>
      <c r="R37" t="inlineStr">
        <is>
          <t>skeletal</t>
        </is>
      </c>
      <c r="S37" t="inlineStr">
        <is>
          <t>Waters-Rist AL, Braekmans D, Hoogland MLP (2013). BABAO 15th Annual Conference, University of York (poster).</t>
        </is>
      </c>
      <c r="T37" t="inlineStr">
        <is>
          <t>BABAO 2013 poster</t>
        </is>
      </c>
      <c r="U37" t="inlineStr">
        <is>
          <t>conference poster</t>
        </is>
      </c>
    </row>
    <row r="38">
      <c r="A38" t="inlineStr">
        <is>
          <t>IV037</t>
        </is>
      </c>
      <c r="B38" t="inlineStr">
        <is>
          <t>Middenbeemster</t>
        </is>
      </c>
      <c r="C38" t="inlineStr">
        <is>
          <t>North Holland</t>
        </is>
      </c>
      <c r="D38" t="inlineStr">
        <is>
          <t>Netherlands</t>
        </is>
      </c>
      <c r="E38" t="inlineStr">
        <is>
          <t>1800</t>
        </is>
      </c>
      <c r="F38" t="inlineStr">
        <is>
          <t>1899</t>
        </is>
      </c>
      <c r="G38" t="inlineStr">
        <is>
          <t>individual S914, archivally named Beletje W.</t>
        </is>
      </c>
      <c r="H38" t="inlineStr">
        <is>
          <t>partial denture (both arches)</t>
        </is>
      </c>
      <c r="I38" t="inlineStr">
        <is>
          <t>silver-copper alloy base (Ag 85.3-89.3, Cu 6.3, Ni 2.1-3.6, Pb 0.84-1.12 wt%) with porcelain teeth</t>
        </is>
      </c>
      <c r="J38" t="inlineStr">
        <is>
          <t>maxilla LC to RM1 (brace on LPM1, RPM1, RM2); mandible LM2 to RPM2 (brace on LPM1)</t>
        </is>
      </c>
      <c r="K38" t="inlineStr">
        <is>
          <t>both</t>
        </is>
      </c>
      <c r="L38" t="inlineStr">
        <is>
          <t>replacement</t>
        </is>
      </c>
      <c r="M38" t="inlineStr">
        <is>
          <t>F</t>
        </is>
      </c>
      <c r="N38" t="inlineStr">
        <is>
          <t>43</t>
        </is>
      </c>
      <c r="O38" t="n">
        <v>1</v>
      </c>
      <c r="P38" t="inlineStr">
        <is>
          <t>450</t>
        </is>
      </c>
      <c r="Q38" t="inlineStr">
        <is>
          <t>extensive antemortem tooth loss, periodontal disease and severe caries in most of five remaining teeth. Lead traces place fabrication before electrolytic refining; the copper-depleted silver matches German/Austrian/Italian rather than British standards. Authors conclude such devices were no longer limited to the very upper class by the 19th century.</t>
        </is>
      </c>
      <c r="R38" t="inlineStr">
        <is>
          <t>skeletal</t>
        </is>
      </c>
      <c r="S38" t="inlineStr">
        <is>
          <t>Waters-Rist AL, Braekmans D, Hoogland MLP (2013). BABAO 15th Annual Conference, University of York (poster).</t>
        </is>
      </c>
      <c r="T38" t="inlineStr">
        <is>
          <t>BABAO 2013 poster</t>
        </is>
      </c>
      <c r="U38" t="inlineStr">
        <is>
          <t>conference poster</t>
        </is>
      </c>
    </row>
    <row r="39">
      <c r="A39" t="inlineStr">
        <is>
          <t>IV038</t>
        </is>
      </c>
      <c r="B39" t="inlineStr">
        <is>
          <t>St Marylebone, London</t>
        </is>
      </c>
      <c r="C39" t="inlineStr">
        <is>
          <t>England</t>
        </is>
      </c>
      <c r="D39" t="inlineStr">
        <is>
          <t>UK</t>
        </is>
      </c>
      <c r="E39" t="inlineStr">
        <is>
          <t>1837</t>
        </is>
      </c>
      <c r="F39" t="inlineStr">
        <is>
          <t>1837</t>
        </is>
      </c>
      <c r="G39" t="inlineStr">
        <is>
          <t>Charlotte Bampton Taylor, died 1837 aged 77</t>
        </is>
      </c>
      <c r="H39" t="inlineStr">
        <is>
          <t>bridge ("Waterloo teeth")</t>
        </is>
      </c>
      <c r="I39" t="inlineStr">
        <is>
          <t>platinum wire with bone disc/plug</t>
        </is>
      </c>
      <c r="J39" t="inlineStr">
        <is>
          <t>lower anterior teeth</t>
        </is>
      </c>
      <c r="K39" t="inlineStr">
        <is>
          <t>mandible</t>
        </is>
      </c>
      <c r="L39" t="inlineStr">
        <is>
          <t>replacement</t>
        </is>
      </c>
      <c r="M39" t="inlineStr">
        <is>
          <t>F</t>
        </is>
      </c>
      <c r="N39" t="inlineStr">
        <is>
          <t>77</t>
        </is>
      </c>
      <c r="O39" t="n">
        <v>1</v>
      </c>
      <c r="P39" t="inlineStr"/>
      <c r="Q39" t="inlineStr">
        <is>
          <t>replacement using teeth taken from the dead</t>
        </is>
      </c>
      <c r="R39" t="inlineStr">
        <is>
          <t>skeletal</t>
        </is>
      </c>
      <c r="S39" t="inlineStr">
        <is>
          <t>London Museum, "Testy teeth! Dental interventions in 19th-century London" (museum blog).</t>
        </is>
      </c>
      <c r="T39" t="inlineStr">
        <is>
          <t>londonmuseum.org.uk blog</t>
        </is>
      </c>
      <c r="U39" t="inlineStr">
        <is>
          <t>museum/press account</t>
        </is>
      </c>
    </row>
    <row r="40">
      <c r="A40" t="inlineStr">
        <is>
          <t>IV039</t>
        </is>
      </c>
      <c r="B40" t="inlineStr">
        <is>
          <t>St John's, Bethnal Green, London</t>
        </is>
      </c>
      <c r="C40" t="inlineStr">
        <is>
          <t>England</t>
        </is>
      </c>
      <c r="D40" t="inlineStr">
        <is>
          <t>UK</t>
        </is>
      </c>
      <c r="E40" t="inlineStr">
        <is>
          <t>1840</t>
        </is>
      </c>
      <c r="F40" t="inlineStr">
        <is>
          <t>1855</t>
        </is>
      </c>
      <c r="G40" t="inlineStr">
        <is>
          <t>site total 1033 individuals (not a screened denominator)</t>
        </is>
      </c>
      <c r="H40" t="inlineStr">
        <is>
          <t>partial denture</t>
        </is>
      </c>
      <c r="I40" t="inlineStr">
        <is>
          <t>cheap alloy, possibly leaded</t>
        </is>
      </c>
      <c r="J40" t="inlineStr">
        <is>
          <t>left maxilla; metal adhering to lingual surfaces of both central incisors</t>
        </is>
      </c>
      <c r="K40" t="inlineStr">
        <is>
          <t>maxilla</t>
        </is>
      </c>
      <c r="L40" t="inlineStr">
        <is>
          <t>replacement</t>
        </is>
      </c>
      <c r="M40" t="inlineStr">
        <is>
          <t>F</t>
        </is>
      </c>
      <c r="N40" t="inlineStr">
        <is>
          <t>elderly</t>
        </is>
      </c>
      <c r="O40" t="n">
        <v>1</v>
      </c>
      <c r="P40" t="inlineStr"/>
      <c r="Q40" t="inlineStr">
        <is>
          <t>tooth replacement in a working-class parish</t>
        </is>
      </c>
      <c r="R40" t="inlineStr">
        <is>
          <t>skeletal</t>
        </is>
      </c>
      <c r="S40" t="inlineStr">
        <is>
          <t>London Museum, "Testy teeth! Dental interventions in 19th-century London" (museum blog).</t>
        </is>
      </c>
      <c r="T40" t="inlineStr">
        <is>
          <t>londonmuseum.org.uk blog</t>
        </is>
      </c>
      <c r="U40" t="inlineStr">
        <is>
          <t>museum/press account</t>
        </is>
      </c>
    </row>
    <row r="41">
      <c r="A41" t="inlineStr">
        <is>
          <t>IV040</t>
        </is>
      </c>
      <c r="B41" t="inlineStr">
        <is>
          <t>Bruschi II appliance - Territory of Tarquinia?</t>
        </is>
      </c>
      <c r="C41" t="inlineStr">
        <is>
          <t>Etruria</t>
        </is>
      </c>
      <c r="D41" t="inlineStr">
        <is>
          <t>Italy</t>
        </is>
      </c>
      <c r="E41" t="inlineStr"/>
      <c r="F41" t="inlineStr"/>
      <c r="G41" t="inlineStr">
        <is>
          <t>unknown</t>
        </is>
      </c>
      <c r="H41" t="inlineStr">
        <is>
          <t>gold-band dental appliance</t>
        </is>
      </c>
      <c r="I41" t="inlineStr">
        <is>
          <t>gold; false tooth: central incisor lost</t>
        </is>
      </c>
      <c r="J41" t="inlineStr">
        <is>
          <t>maxilla (2I-I2)</t>
        </is>
      </c>
      <c r="K41" t="inlineStr">
        <is>
          <t>maxilla</t>
        </is>
      </c>
      <c r="L41" t="inlineStr">
        <is>
          <t>replacement</t>
        </is>
      </c>
      <c r="M41" t="inlineStr">
        <is>
          <t>F???</t>
        </is>
      </c>
      <c r="N41" t="inlineStr"/>
      <c r="O41" t="n">
        <v>1</v>
      </c>
      <c r="P41" t="inlineStr"/>
      <c r="Q41" t="inlineStr">
        <is>
          <t>cosmetic/status display; band appliances stabilize or replace anterior teeth, several of which were removed while healthy. Wearers predominantly female, sex usually inferred from tooth size.</t>
        </is>
      </c>
      <c r="R41" t="inlineStr">
        <is>
          <t>object (often without associated skeleton)</t>
        </is>
      </c>
      <c r="S41" t="inlineStr">
        <is>
          <t>Becker MJ, Turfa JM (2017). The Etruscans and the History of Dentistry, ch.5 Catalogue, Tables 5.8-5.14. Routledge.</t>
        </is>
      </c>
      <c r="T41" t="inlineStr">
        <is>
          <t>10.4324/9781315559254-6</t>
        </is>
      </c>
      <c r="U41" t="inlineStr">
        <is>
          <t>full text read</t>
        </is>
      </c>
    </row>
    <row r="42">
      <c r="A42" t="inlineStr">
        <is>
          <t>IV041</t>
        </is>
      </c>
      <c r="B42" t="inlineStr">
        <is>
          <t>Liverpool I appliance - Unknown</t>
        </is>
      </c>
      <c r="C42" t="inlineStr">
        <is>
          <t>Etruria</t>
        </is>
      </c>
      <c r="D42" t="inlineStr">
        <is>
          <t>Italy</t>
        </is>
      </c>
      <c r="E42" t="inlineStr"/>
      <c r="F42" t="inlineStr"/>
      <c r="G42" t="inlineStr">
        <is>
          <t>unknown</t>
        </is>
      </c>
      <c r="H42" t="inlineStr">
        <is>
          <t>gold-band dental appliance</t>
        </is>
      </c>
      <c r="I42" t="inlineStr">
        <is>
          <t>gold; false tooth: human teeth</t>
        </is>
      </c>
      <c r="J42" t="inlineStr">
        <is>
          <t>maxilla 2I-I2</t>
        </is>
      </c>
      <c r="K42" t="inlineStr">
        <is>
          <t>maxilla</t>
        </is>
      </c>
      <c r="L42" t="inlineStr">
        <is>
          <t>replacement</t>
        </is>
      </c>
      <c r="M42" t="inlineStr">
        <is>
          <t>F?</t>
        </is>
      </c>
      <c r="N42" t="inlineStr"/>
      <c r="O42" t="n">
        <v>1</v>
      </c>
      <c r="P42" t="inlineStr"/>
      <c r="Q42" t="inlineStr">
        <is>
          <t>cosmetic/status display; band appliances stabilize or replace anterior teeth, several of which were removed while healthy. Wearers predominantly female, sex usually inferred from tooth size.</t>
        </is>
      </c>
      <c r="R42" t="inlineStr">
        <is>
          <t>object (often without associated skeleton)</t>
        </is>
      </c>
      <c r="S42" t="inlineStr">
        <is>
          <t>Becker MJ, Turfa JM (2017). The Etruscans and the History of Dentistry, ch.5 Catalogue, Tables 5.8-5.14. Routledge.</t>
        </is>
      </c>
      <c r="T42" t="inlineStr">
        <is>
          <t>10.4324/9781315559254-6</t>
        </is>
      </c>
      <c r="U42" t="inlineStr">
        <is>
          <t>full text read</t>
        </is>
      </c>
    </row>
    <row r="43">
      <c r="A43" t="inlineStr">
        <is>
          <t>IV042</t>
        </is>
      </c>
      <c r="B43" t="inlineStr">
        <is>
          <t>Liverpool II appliance - Unknown</t>
        </is>
      </c>
      <c r="C43" t="inlineStr">
        <is>
          <t>Etruria</t>
        </is>
      </c>
      <c r="D43" t="inlineStr">
        <is>
          <t>Italy</t>
        </is>
      </c>
      <c r="E43" t="inlineStr"/>
      <c r="F43" t="inlineStr"/>
      <c r="G43" t="inlineStr">
        <is>
          <t>unknown</t>
        </is>
      </c>
      <c r="H43" t="inlineStr">
        <is>
          <t>gold-band dental appliance</t>
        </is>
      </c>
      <c r="I43" t="inlineStr">
        <is>
          <t>gold; false tooth: 2 R incisors lost; only anchors remain</t>
        </is>
      </c>
      <c r="J43" t="inlineStr">
        <is>
          <t>maxilla 2I-I2</t>
        </is>
      </c>
      <c r="K43" t="inlineStr">
        <is>
          <t>maxilla</t>
        </is>
      </c>
      <c r="L43" t="inlineStr">
        <is>
          <t>replacement</t>
        </is>
      </c>
      <c r="M43" t="inlineStr">
        <is>
          <t>F?</t>
        </is>
      </c>
      <c r="N43" t="inlineStr">
        <is>
          <t>45+</t>
        </is>
      </c>
      <c r="O43" t="n">
        <v>1</v>
      </c>
      <c r="P43" t="inlineStr"/>
      <c r="Q43" t="inlineStr">
        <is>
          <t>cosmetic/status display; band appliances stabilize or replace anterior teeth, several of which were removed while healthy. Wearers predominantly female, sex usually inferred from tooth size.</t>
        </is>
      </c>
      <c r="R43" t="inlineStr">
        <is>
          <t>object (often without associated skeleton)</t>
        </is>
      </c>
      <c r="S43" t="inlineStr">
        <is>
          <t>Becker MJ, Turfa JM (2017). The Etruscans and the History of Dentistry, ch.5 Catalogue, Tables 5.8-5.14. Routledge.</t>
        </is>
      </c>
      <c r="T43" t="inlineStr">
        <is>
          <t>10.4324/9781315559254-6</t>
        </is>
      </c>
      <c r="U43" t="inlineStr">
        <is>
          <t>full text read</t>
        </is>
      </c>
    </row>
    <row r="44">
      <c r="A44" t="inlineStr">
        <is>
          <t>IV043</t>
        </is>
      </c>
      <c r="B44" t="inlineStr">
        <is>
          <t>Praeneste appliance - Praeneste, sporadic find in necropolis</t>
        </is>
      </c>
      <c r="C44" t="inlineStr">
        <is>
          <t>Latium</t>
        </is>
      </c>
      <c r="D44" t="inlineStr">
        <is>
          <t>Italy</t>
        </is>
      </c>
      <c r="E44" t="inlineStr"/>
      <c r="F44" t="inlineStr"/>
      <c r="G44" t="inlineStr">
        <is>
          <t>unknown</t>
        </is>
      </c>
      <c r="H44" t="inlineStr">
        <is>
          <t>gold-band dental appliance</t>
        </is>
      </c>
      <c r="I44" t="inlineStr">
        <is>
          <t>gold; false tooth: human teeth</t>
        </is>
      </c>
      <c r="J44" t="inlineStr">
        <is>
          <t>maxilla 2I-I2, 3 teeth</t>
        </is>
      </c>
      <c r="K44" t="inlineStr">
        <is>
          <t>maxilla</t>
        </is>
      </c>
      <c r="L44" t="inlineStr">
        <is>
          <t>replacement</t>
        </is>
      </c>
      <c r="M44" t="inlineStr">
        <is>
          <t>F</t>
        </is>
      </c>
      <c r="N44" t="inlineStr">
        <is>
          <t>35-45</t>
        </is>
      </c>
      <c r="O44" t="n">
        <v>1</v>
      </c>
      <c r="P44" t="inlineStr"/>
      <c r="Q44" t="inlineStr">
        <is>
          <t>cosmetic/status display; band appliances stabilize or replace anterior teeth, several of which were removed while healthy. Wearers predominantly female, sex usually inferred from tooth size.</t>
        </is>
      </c>
      <c r="R44" t="inlineStr">
        <is>
          <t>object (often without associated skeleton)</t>
        </is>
      </c>
      <c r="S44" t="inlineStr">
        <is>
          <t>Becker MJ, Turfa JM (2017). The Etruscans and the History of Dentistry, ch.5 Catalogue, Tables 5.8-5.14. Routledge.</t>
        </is>
      </c>
      <c r="T44" t="inlineStr">
        <is>
          <t>10.4324/9781315559254-6</t>
        </is>
      </c>
      <c r="U44" t="inlineStr">
        <is>
          <t>full text read</t>
        </is>
      </c>
    </row>
    <row r="45">
      <c r="A45" t="inlineStr">
        <is>
          <t>IV044</t>
        </is>
      </c>
      <c r="B45" t="inlineStr">
        <is>
          <t>Hulbjerg passage grave</t>
        </is>
      </c>
      <c r="C45" t="inlineStr">
        <is>
          <t>Langeland</t>
        </is>
      </c>
      <c r="D45" t="inlineStr">
        <is>
          <t>Denmark</t>
        </is>
      </c>
      <c r="E45" t="inlineStr"/>
      <c r="F45" t="inlineStr"/>
      <c r="G45" t="inlineStr">
        <is>
          <t>Neolithic passage grave; precise date not given in the citing source</t>
        </is>
      </c>
      <c r="H45" t="inlineStr">
        <is>
          <t>drilling</t>
        </is>
      </c>
      <c r="I45" t="inlineStr">
        <is>
          <t>none recorded</t>
        </is>
      </c>
      <c r="J45" t="inlineStr">
        <is>
          <t>near the bifurcation of the right M2 roots</t>
        </is>
      </c>
      <c r="K45" t="inlineStr">
        <is>
          <t>maxilla</t>
        </is>
      </c>
      <c r="L45" t="inlineStr">
        <is>
          <t>therapeutic</t>
        </is>
      </c>
      <c r="M45" t="inlineStr"/>
      <c r="N45" t="inlineStr"/>
      <c r="O45" t="n">
        <v>1</v>
      </c>
      <c r="P45" t="inlineStr"/>
      <c r="Q45" t="inlineStr">
        <is>
          <t>individual also shows periodontal disease and caries, suggesting the drilling was a pathological intervention</t>
        </is>
      </c>
      <c r="R45" t="inlineStr">
        <is>
          <t>skeletal</t>
        </is>
      </c>
      <c r="S45" t="inlineStr">
        <is>
          <t>Bennike P, Alexandersen V (2003); Bennike P, Fredebo L (1986); cited in Oxilia et al. 2017.</t>
        </is>
      </c>
      <c r="T45" t="inlineStr">
        <is>
          <t>via 10.1002/ajpa.23216</t>
        </is>
      </c>
      <c r="U45" t="inlineStr">
        <is>
          <t>secondary source</t>
        </is>
      </c>
    </row>
    <row r="46">
      <c r="A46" t="inlineStr">
        <is>
          <t>IV045</t>
        </is>
      </c>
      <c r="B46" t="inlineStr">
        <is>
          <t>Mehrgarh, graveyard MR3</t>
        </is>
      </c>
      <c r="C46" t="inlineStr">
        <is>
          <t>Balochistan (OUTSIDE EUROPE - comparator)</t>
        </is>
      </c>
      <c r="D46" t="inlineStr">
        <is>
          <t>Pakistan</t>
        </is>
      </c>
      <c r="E46" t="inlineStr"/>
      <c r="F46" t="inlineStr"/>
      <c r="G46" t="inlineStr">
        <is>
          <t>Neolithic; precise date not given in the citing source</t>
        </is>
      </c>
      <c r="H46" t="inlineStr">
        <is>
          <t>drilling</t>
        </is>
      </c>
      <c r="I46" t="inlineStr">
        <is>
          <t>none recorded</t>
        </is>
      </c>
      <c r="J46" t="inlineStr">
        <is>
          <t>11 drilled teeth</t>
        </is>
      </c>
      <c r="K46" t="inlineStr"/>
      <c r="L46" t="inlineStr">
        <is>
          <t>therapeutic</t>
        </is>
      </c>
      <c r="M46" t="inlineStr"/>
      <c r="N46" t="inlineStr"/>
      <c r="O46" t="n">
        <v>11</v>
      </c>
      <c r="P46" t="inlineStr"/>
      <c r="Q46" t="inlineStr">
        <is>
          <t>11 drilled teeth belonging to 9 individuals; at least 4 had associated decay. The earliest drilling corpus with a count anywhere. Included as a comparator only - NOT European, exclude from any European tally.</t>
        </is>
      </c>
      <c r="R46" t="inlineStr">
        <is>
          <t>skeletal</t>
        </is>
      </c>
      <c r="S46" t="inlineStr">
        <is>
          <t>Coppa A et al. (2006); cited in Oxilia et al. 2017.</t>
        </is>
      </c>
      <c r="T46" t="inlineStr">
        <is>
          <t>via 10.1002/ajpa.23216</t>
        </is>
      </c>
      <c r="U46" t="inlineStr">
        <is>
          <t>secondary source</t>
        </is>
      </c>
    </row>
    <row r="47">
      <c r="A47" t="inlineStr">
        <is>
          <t>IV046</t>
        </is>
      </c>
      <c r="B47" t="inlineStr">
        <is>
          <t>Temple of Castor and Pollux, Roman Forum</t>
        </is>
      </c>
      <c r="C47" t="inlineStr">
        <is>
          <t>Latium</t>
        </is>
      </c>
      <c r="D47" t="inlineStr">
        <is>
          <t>Italy</t>
        </is>
      </c>
      <c r="E47" t="inlineStr"/>
      <c r="F47" t="inlineStr"/>
      <c r="G47" t="inlineStr">
        <is>
          <t>Roman; precise date not given in the review</t>
        </is>
      </c>
      <c r="H47" t="inlineStr">
        <is>
          <t>extraction</t>
        </is>
      </c>
      <c r="I47" t="inlineStr">
        <is>
          <t>metal elevator (inferred from tool marks)</t>
        </is>
      </c>
      <c r="J47" t="inlineStr">
        <is>
          <t>86 human teeth, primarily molars, all with extensive carious lesions, many extending to the pulp chamber; horizontal tool marks in the interproximal cervical region of several molars</t>
        </is>
      </c>
      <c r="K47" t="inlineStr"/>
      <c r="L47" t="inlineStr">
        <is>
          <t>therapeutic</t>
        </is>
      </c>
      <c r="M47" t="inlineStr"/>
      <c r="N47" t="inlineStr"/>
      <c r="O47" t="n">
        <v>86</v>
      </c>
      <c r="P47" t="inlineStr"/>
      <c r="Q47" t="inlineStr">
        <is>
          <t>teeth recovered from a drain within a small commercial establishment. Glass containers with traces of cosmetics and medicine, ointment jars and pharmaceutical artefacts suggest the premises served as both a pharmacy and a place of dental extraction. THE LARGEST SINGLE ASSEMBLAGE OF EUROPEAN THERAPEUTIC INTERVENTION IN THIS DATASET - but it is a count of teeth from a drain, with no population denominator.</t>
        </is>
      </c>
      <c r="R47" t="inlineStr">
        <is>
          <t>skeletal (disarticulated, no individuals)</t>
        </is>
      </c>
      <c r="S47" t="inlineStr">
        <is>
          <t>Becker MJ (2014), Int J Anthropol 29:209-226; reported in Forshaw 2026.</t>
        </is>
      </c>
      <c r="T47" t="inlineStr">
        <is>
          <t>via 10.1038/s41415-025-8883-0</t>
        </is>
      </c>
      <c r="U47" t="inlineStr">
        <is>
          <t>secondary source</t>
        </is>
      </c>
    </row>
    <row r="48">
      <c r="A48" t="inlineStr">
        <is>
          <t>IV047</t>
        </is>
      </c>
      <c r="B48" t="inlineStr">
        <is>
          <t>Cemetery of Calpodius, Rome</t>
        </is>
      </c>
      <c r="C48" t="inlineStr">
        <is>
          <t>Latium</t>
        </is>
      </c>
      <c r="D48" t="inlineStr">
        <is>
          <t>Italy</t>
        </is>
      </c>
      <c r="E48" t="inlineStr"/>
      <c r="F48" t="inlineStr"/>
      <c r="G48" t="inlineStr">
        <is>
          <t>Roman</t>
        </is>
      </c>
      <c r="H48" t="inlineStr">
        <is>
          <t>occupational evidence (practitioner)</t>
        </is>
      </c>
      <c r="I48" t="inlineStr">
        <is>
          <t>stone monument</t>
        </is>
      </c>
      <c r="J48" t="inlineStr">
        <is>
          <t>n/a - monument</t>
        </is>
      </c>
      <c r="K48" t="inlineStr"/>
      <c r="L48" t="inlineStr">
        <is>
          <t>therapeutic</t>
        </is>
      </c>
      <c r="M48" t="inlineStr"/>
      <c r="N48" t="inlineStr"/>
      <c r="O48" t="n">
        <v>1</v>
      </c>
      <c r="P48" t="inlineStr"/>
      <c r="Q48" t="inlineStr">
        <is>
          <t>gravestone with dental forceps incised; a square to the left of the forceps is thought to represent a tooth. Evidence that extraction was a named occupation, not evidence of a treated tooth.</t>
        </is>
      </c>
      <c r="R48" t="inlineStr">
        <is>
          <t>funerary monument</t>
        </is>
      </c>
      <c r="S48" t="inlineStr">
        <is>
          <t>Forshaw R (2026). Dentistry and dental care in antiquity: part 2 - Egypt and the Graeco-Roman World. Br Dent J 240(1):45-50.</t>
        </is>
      </c>
      <c r="T48" t="inlineStr">
        <is>
          <t>10.1038/s41415-025-8883-0</t>
        </is>
      </c>
      <c r="U48" t="inlineStr">
        <is>
          <t>full text read</t>
        </is>
      </c>
    </row>
    <row r="49">
      <c r="A49" t="inlineStr">
        <is>
          <t>IV048</t>
        </is>
      </c>
      <c r="B49" t="inlineStr">
        <is>
          <t>Near the Basilica of San Lorenzo, Rome</t>
        </is>
      </c>
      <c r="C49" t="inlineStr">
        <is>
          <t>Latium</t>
        </is>
      </c>
      <c r="D49" t="inlineStr">
        <is>
          <t>Italy</t>
        </is>
      </c>
      <c r="E49" t="inlineStr"/>
      <c r="F49" t="inlineStr"/>
      <c r="G49" t="inlineStr">
        <is>
          <t>Roman</t>
        </is>
      </c>
      <c r="H49" t="inlineStr">
        <is>
          <t>occupational evidence (practitioner)</t>
        </is>
      </c>
      <c r="I49" t="inlineStr">
        <is>
          <t>stone monument</t>
        </is>
      </c>
      <c r="J49" t="inlineStr">
        <is>
          <t>n/a - monument</t>
        </is>
      </c>
      <c r="K49" t="inlineStr"/>
      <c r="L49" t="inlineStr">
        <is>
          <t>therapeutic</t>
        </is>
      </c>
      <c r="M49" t="inlineStr"/>
      <c r="N49" t="inlineStr"/>
      <c r="O49" t="n">
        <v>1</v>
      </c>
      <c r="P49" t="inlineStr"/>
      <c r="Q49" t="inlineStr">
        <is>
          <t>gravestone of a possible dentist; inscription interpreted as "Alexander the Dentist"; one of two instruments appears to depict dental forceps clasping a tooth. Evidence that extraction was a named occupation, not evidence of a treated tooth.</t>
        </is>
      </c>
      <c r="R49" t="inlineStr">
        <is>
          <t>funerary monument</t>
        </is>
      </c>
      <c r="S49" t="inlineStr">
        <is>
          <t>Forshaw R (2026). Dentistry and dental care in antiquity: part 2 - Egypt and the Graeco-Roman World. Br Dent J 240(1):45-50.</t>
        </is>
      </c>
      <c r="T49" t="inlineStr">
        <is>
          <t>10.1038/s41415-025-8883-0</t>
        </is>
      </c>
      <c r="U49" t="inlineStr">
        <is>
          <t>full text read</t>
        </is>
      </c>
    </row>
    <row r="50">
      <c r="A50" t="inlineStr">
        <is>
          <t>IV049</t>
        </is>
      </c>
      <c r="B50" t="inlineStr">
        <is>
          <t>Rome (funerary relief)</t>
        </is>
      </c>
      <c r="C50" t="inlineStr">
        <is>
          <t>Latium</t>
        </is>
      </c>
      <c r="D50" t="inlineStr">
        <is>
          <t>Italy</t>
        </is>
      </c>
      <c r="E50" t="inlineStr"/>
      <c r="F50" t="inlineStr"/>
      <c r="G50" t="inlineStr">
        <is>
          <t>Roman</t>
        </is>
      </c>
      <c r="H50" t="inlineStr">
        <is>
          <t>occupational evidence (practitioner)</t>
        </is>
      </c>
      <c r="I50" t="inlineStr">
        <is>
          <t>stone monument</t>
        </is>
      </c>
      <c r="J50" t="inlineStr">
        <is>
          <t>n/a - monument</t>
        </is>
      </c>
      <c r="K50" t="inlineStr"/>
      <c r="L50" t="inlineStr">
        <is>
          <t>therapeutic</t>
        </is>
      </c>
      <c r="M50" t="inlineStr"/>
      <c r="N50" t="inlineStr"/>
      <c r="O50" t="n">
        <v>1</v>
      </c>
      <c r="P50" t="inlineStr"/>
      <c r="Q50" t="inlineStr">
        <is>
          <t>relief commemorating an unknown individual, showing an assortment of surgical tools including what closely resembles ancient dental forceps. Evidence that extraction was a named occupation, not evidence of a treated tooth.</t>
        </is>
      </c>
      <c r="R50" t="inlineStr">
        <is>
          <t>funerary monument</t>
        </is>
      </c>
      <c r="S50" t="inlineStr">
        <is>
          <t>Forshaw R (2026). Dentistry and dental care in antiquity: part 2 - Egypt and the Graeco-Roman World. Br Dent J 240(1):45-50.</t>
        </is>
      </c>
      <c r="T50" t="inlineStr">
        <is>
          <t>10.1038/s41415-025-8883-0</t>
        </is>
      </c>
      <c r="U50" t="inlineStr">
        <is>
          <t>full text read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text_id</t>
        </is>
      </c>
      <c r="B1" t="inlineStr">
        <is>
          <t>source</t>
        </is>
      </c>
      <c r="C1" t="inlineStr">
        <is>
          <t>date</t>
        </is>
      </c>
      <c r="D1" t="inlineStr">
        <is>
          <t>region</t>
        </is>
      </c>
      <c r="E1" t="inlineStr">
        <is>
          <t>content</t>
        </is>
      </c>
      <c r="F1" t="inlineStr">
        <is>
          <t>category</t>
        </is>
      </c>
      <c r="G1" t="inlineStr">
        <is>
          <t>citation</t>
        </is>
      </c>
      <c r="H1" t="inlineStr">
        <is>
          <t>doi_or_ref</t>
        </is>
      </c>
      <c r="I1" t="inlineStr">
        <is>
          <t>verification_status</t>
        </is>
      </c>
      <c r="J1" t="inlineStr">
        <is>
          <t>note</t>
        </is>
      </c>
    </row>
    <row r="2">
      <c r="A2" t="inlineStr">
        <is>
          <t>TX001</t>
        </is>
      </c>
      <c r="B2" t="inlineStr">
        <is>
          <t>Hippocratic Corpus (some attributed to Hippocrates)</t>
        </is>
      </c>
      <c r="C2" t="inlineStr">
        <is>
          <t>5th c. BC</t>
        </is>
      </c>
      <c r="D2" t="inlineStr">
        <is>
          <t>Greece / Rome</t>
        </is>
      </c>
      <c r="E2" t="inlineStr">
        <is>
          <t>Operative works: extractions, abscess incisions, treatment of mandibular dislocations and fractures. SPLINTING WITH GOLD WIRE recommended for displaced or mobile teeth - the textual counterpart of the surviving wire appliances. Also a tooth-numbering system resembling the one in use today, and probably the earliest reference to "wisdom teeth".</t>
        </is>
      </c>
      <c r="F2" t="inlineStr">
        <is>
          <t>operative</t>
        </is>
      </c>
      <c r="G2" t="inlineStr">
        <is>
          <t>Forshaw R (2026). Dentistry and dental care in antiquity: part 2 - Egypt and the Graeco-Roman World. Br Dent J 240(1):45-50.</t>
        </is>
      </c>
      <c r="H2" t="inlineStr">
        <is>
          <t>10.1038/s41415-025-8883-0</t>
        </is>
      </c>
      <c r="I2" t="inlineStr">
        <is>
          <t>full text read</t>
        </is>
      </c>
      <c r="J2" t="inlineStr">
        <is>
          <t>DOCUMENTARY - a prescription or description, NOT a treated tooth. Never count these as archaeological cases.</t>
        </is>
      </c>
    </row>
    <row r="3">
      <c r="A3" t="inlineStr">
        <is>
          <t>TX002</t>
        </is>
      </c>
      <c r="B3" t="inlineStr">
        <is>
          <t>Aristotle (384-322 BC)</t>
        </is>
      </c>
      <c r="C3" t="inlineStr">
        <is>
          <t>4th c. BC</t>
        </is>
      </c>
      <c r="D3" t="inlineStr">
        <is>
          <t>Greece / Rome</t>
        </is>
      </c>
      <c r="E3" t="inlineStr">
        <is>
          <t>Therapeutic recommendations limited; addresses the use of iron dental forceps for extraction.</t>
        </is>
      </c>
      <c r="F3" t="inlineStr">
        <is>
          <t>operative</t>
        </is>
      </c>
      <c r="G3" t="inlineStr">
        <is>
          <t>Forshaw R (2026). Dentistry and dental care in antiquity: part 2 - Egypt and the Graeco-Roman World. Br Dent J 240(1):45-50.</t>
        </is>
      </c>
      <c r="H3" t="inlineStr">
        <is>
          <t>10.1038/s41415-025-8883-0</t>
        </is>
      </c>
      <c r="I3" t="inlineStr">
        <is>
          <t>full text read</t>
        </is>
      </c>
      <c r="J3" t="inlineStr">
        <is>
          <t>DOCUMENTARY - a prescription or description, NOT a treated tooth. Never count these as archaeological cases.</t>
        </is>
      </c>
    </row>
    <row r="4">
      <c r="A4" t="inlineStr">
        <is>
          <t>TX003</t>
        </is>
      </c>
      <c r="B4" t="inlineStr">
        <is>
          <t>Theophrastus (c. 371-287 BC), Enquiry into Plants</t>
        </is>
      </c>
      <c r="C4" t="inlineStr">
        <is>
          <t>4th-3rd c. BC</t>
        </is>
      </c>
      <c r="D4" t="inlineStr">
        <is>
          <t>Greece / Rome</t>
        </is>
      </c>
      <c r="E4" t="inlineStr">
        <is>
          <t>Identifies narcotic plants that could alleviate pain.</t>
        </is>
      </c>
      <c r="F4" t="inlineStr">
        <is>
          <t>pharmaceutical</t>
        </is>
      </c>
      <c r="G4" t="inlineStr">
        <is>
          <t>Forshaw R (2026). Dentistry and dental care in antiquity: part 2 - Egypt and the Graeco-Roman World. Br Dent J 240(1):45-50.</t>
        </is>
      </c>
      <c r="H4" t="inlineStr">
        <is>
          <t>10.1038/s41415-025-8883-0</t>
        </is>
      </c>
      <c r="I4" t="inlineStr">
        <is>
          <t>full text read</t>
        </is>
      </c>
      <c r="J4" t="inlineStr">
        <is>
          <t>DOCUMENTARY - a prescription or description, NOT a treated tooth. Never count these as archaeological cases.</t>
        </is>
      </c>
    </row>
    <row r="5">
      <c r="A5" t="inlineStr">
        <is>
          <t>TX004</t>
        </is>
      </c>
      <c r="B5" t="inlineStr">
        <is>
          <t>Celsus, De Medicina (c. 25 BC - AD 50)</t>
        </is>
      </c>
      <c r="C5" t="inlineStr">
        <is>
          <t>1st c. BC - 1st c. AD</t>
        </is>
      </c>
      <c r="D5" t="inlineStr">
        <is>
          <t>Greece / Rome</t>
        </is>
      </c>
      <c r="E5" t="inlineStr">
        <is>
          <t>Meticulous technique for removing a tooth and root fragments. Extraction of deciduous teeth when permanent successors erupt prematurely. Techniques for stabilising loose teeth and smoothing fractured teeth that irritate soft tissues. Cauterising the gingiva of periodontally compromised teeth with a heated iron. Extraction reserved as a last resort.</t>
        </is>
      </c>
      <c r="F5" t="inlineStr">
        <is>
          <t>operative</t>
        </is>
      </c>
      <c r="G5" t="inlineStr">
        <is>
          <t>Forshaw R (2026). Dentistry and dental care in antiquity: part 2 - Egypt and the Graeco-Roman World. Br Dent J 240(1):45-50.</t>
        </is>
      </c>
      <c r="H5" t="inlineStr">
        <is>
          <t>10.1038/s41415-025-8883-0</t>
        </is>
      </c>
      <c r="I5" t="inlineStr">
        <is>
          <t>full text read</t>
        </is>
      </c>
      <c r="J5" t="inlineStr">
        <is>
          <t>DOCUMENTARY - a prescription or description, NOT a treated tooth. Never count these as archaeological cases.</t>
        </is>
      </c>
    </row>
    <row r="6">
      <c r="A6" t="inlineStr">
        <is>
          <t>TX005</t>
        </is>
      </c>
      <c r="B6" t="inlineStr">
        <is>
          <t>Dioscorides, De Materia Medica (c. AD 40-90)</t>
        </is>
      </c>
      <c r="C6" t="inlineStr">
        <is>
          <t>1st c. AD</t>
        </is>
      </c>
      <c r="D6" t="inlineStr">
        <is>
          <t>Greece / Rome</t>
        </is>
      </c>
      <c r="E6" t="inlineStr">
        <is>
          <t>Cedar decoctions and the insertion of lizard liver into carious cavities. Plant-based mouthwashes with styptic properties (olive oil, pomegranate leaves). Abrasive oyster shells and ground deer antlers prescribed to clean teeth.</t>
        </is>
      </c>
      <c r="F6" t="inlineStr">
        <is>
          <t>pharmaceutical/hygiene</t>
        </is>
      </c>
      <c r="G6" t="inlineStr">
        <is>
          <t>Forshaw R (2026). Dentistry and dental care in antiquity: part 2 - Egypt and the Graeco-Roman World. Br Dent J 240(1):45-50.</t>
        </is>
      </c>
      <c r="H6" t="inlineStr">
        <is>
          <t>10.1038/s41415-025-8883-0</t>
        </is>
      </c>
      <c r="I6" t="inlineStr">
        <is>
          <t>full text read</t>
        </is>
      </c>
      <c r="J6" t="inlineStr">
        <is>
          <t>DOCUMENTARY - a prescription or description, NOT a treated tooth. Never count these as archaeological cases.</t>
        </is>
      </c>
    </row>
    <row r="7">
      <c r="A7" t="inlineStr">
        <is>
          <t>TX006</t>
        </is>
      </c>
      <c r="B7" t="inlineStr">
        <is>
          <t>Pliny the Elder, Natural History (AD 23-79)</t>
        </is>
      </c>
      <c r="C7" t="inlineStr">
        <is>
          <t>1st c. AD</t>
        </is>
      </c>
      <c r="D7" t="inlineStr">
        <is>
          <t>Greece / Rome</t>
        </is>
      </c>
      <c r="E7" t="inlineStr">
        <is>
          <t>Ashes of deer antlers to reduce tooth mobility and alleviate dental pain; antler ash mixed with powdered antler for cleaning teeth; animal-derived preparations from oxen, mice and sparrows for oral pain.</t>
        </is>
      </c>
      <c r="F7" t="inlineStr">
        <is>
          <t>pharmaceutical/hygiene</t>
        </is>
      </c>
      <c r="G7" t="inlineStr">
        <is>
          <t>Forshaw R (2026). Dentistry and dental care in antiquity: part 2 - Egypt and the Graeco-Roman World. Br Dent J 240(1):45-50.</t>
        </is>
      </c>
      <c r="H7" t="inlineStr">
        <is>
          <t>10.1038/s41415-025-8883-0</t>
        </is>
      </c>
      <c r="I7" t="inlineStr">
        <is>
          <t>full text read</t>
        </is>
      </c>
      <c r="J7" t="inlineStr">
        <is>
          <t>DOCUMENTARY - a prescription or description, NOT a treated tooth. Never count these as archaeological cases.</t>
        </is>
      </c>
    </row>
    <row r="8">
      <c r="A8" t="inlineStr">
        <is>
          <t>TX007</t>
        </is>
      </c>
      <c r="B8" t="inlineStr">
        <is>
          <t>Scribonius Largus (0 - AD 50)</t>
        </is>
      </c>
      <c r="C8" t="inlineStr">
        <is>
          <t>1st c. AD</t>
        </is>
      </c>
      <c r="D8" t="inlineStr">
        <is>
          <t>Greece / Rome</t>
        </is>
      </c>
      <c r="E8" t="inlineStr">
        <is>
          <t>Numerous dental remedies and analgesics among his prescriptions.</t>
        </is>
      </c>
      <c r="F8" t="inlineStr">
        <is>
          <t>pharmaceutical</t>
        </is>
      </c>
      <c r="G8" t="inlineStr">
        <is>
          <t>Forshaw R (2026). Dentistry and dental care in antiquity: part 2 - Egypt and the Graeco-Roman World. Br Dent J 240(1):45-50.</t>
        </is>
      </c>
      <c r="H8" t="inlineStr">
        <is>
          <t>10.1038/s41415-025-8883-0</t>
        </is>
      </c>
      <c r="I8" t="inlineStr">
        <is>
          <t>full text read</t>
        </is>
      </c>
      <c r="J8" t="inlineStr">
        <is>
          <t>DOCUMENTARY - a prescription or description, NOT a treated tooth. Never count these as archaeological cases.</t>
        </is>
      </c>
    </row>
    <row r="9">
      <c r="A9" t="inlineStr">
        <is>
          <t>TX008</t>
        </is>
      </c>
      <c r="B9" t="inlineStr">
        <is>
          <t>Galen of Pergamon (c. AD 129-216)</t>
        </is>
      </c>
      <c r="C9" t="inlineStr">
        <is>
          <t>2nd-3rd c. AD</t>
        </is>
      </c>
      <c r="D9" t="inlineStr">
        <is>
          <t>Greece / Rome</t>
        </is>
      </c>
      <c r="E9" t="inlineStr">
        <is>
          <t>Detailed anatomical descriptions of the teeth and oral cavity; synthesised earlier Greek traditions and integrated dental care into broader health practice.</t>
        </is>
      </c>
      <c r="F9" t="inlineStr">
        <is>
          <t>anatomical</t>
        </is>
      </c>
      <c r="G9" t="inlineStr">
        <is>
          <t>Forshaw R (2026). Dentistry and dental care in antiquity: part 2 - Egypt and the Graeco-Roman World. Br Dent J 240(1):45-50.</t>
        </is>
      </c>
      <c r="H9" t="inlineStr">
        <is>
          <t>10.1038/s41415-025-8883-0</t>
        </is>
      </c>
      <c r="I9" t="inlineStr">
        <is>
          <t>full text read</t>
        </is>
      </c>
      <c r="J9" t="inlineStr">
        <is>
          <t>DOCUMENTARY - a prescription or description, NOT a treated tooth. Never count these as archaeological cases.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2"/>
  <sheetViews>
    <sheetView workbookViewId="0">
      <selection activeCell="A1" sqref="A1"/>
    </sheetView>
  </sheetViews>
  <sheetFormatPr baseColWidth="8" defaultRowHeight="15"/>
  <sheetData>
    <row r="1">
      <c r="A1" t="inlineStr">
        <is>
          <t>series</t>
        </is>
      </c>
      <c r="B1" t="inlineStr">
        <is>
          <t>measure</t>
        </is>
      </c>
      <c r="C1" t="inlineStr">
        <is>
          <t>unit</t>
        </is>
      </c>
      <c r="D1" t="inlineStr">
        <is>
          <t>geography</t>
        </is>
      </c>
      <c r="E1" t="inlineStr">
        <is>
          <t>year</t>
        </is>
      </c>
      <c r="F1" t="inlineStr">
        <is>
          <t>age_group</t>
        </is>
      </c>
      <c r="G1" t="inlineStr">
        <is>
          <t>value</t>
        </is>
      </c>
      <c r="H1" t="inlineStr">
        <is>
          <t>criteria</t>
        </is>
      </c>
      <c r="I1" t="inlineStr">
        <is>
          <t>source_table</t>
        </is>
      </c>
      <c r="J1" t="inlineStr">
        <is>
          <t>note</t>
        </is>
      </c>
      <c r="K1" t="inlineStr">
        <is>
          <t>source</t>
        </is>
      </c>
    </row>
    <row r="2">
      <c r="A2" t="inlineStr">
        <is>
          <t>restoration</t>
        </is>
      </c>
      <c r="B2" t="inlineStr">
        <is>
          <t>mean restored, otherwise sound teeth</t>
        </is>
      </c>
      <c r="C2" t="inlineStr">
        <is>
          <t>teeth per person</t>
        </is>
      </c>
      <c r="D2" t="inlineStr">
        <is>
          <t>England</t>
        </is>
      </c>
      <c r="E2" t="n">
        <v>1978</v>
      </c>
      <c r="F2" t="inlineStr">
        <is>
          <t>All</t>
        </is>
      </c>
      <c r="G2" t="n">
        <v>8.1</v>
      </c>
      <c r="H2" t="inlineStr">
        <is>
          <t>1988 criteria</t>
        </is>
      </c>
      <c r="I2" t="inlineStr">
        <is>
          <t>ADHS 2009 Table 4.3.1</t>
        </is>
      </c>
      <c r="J2" t="inlineStr">
        <is>
          <t>dentate adults</t>
        </is>
      </c>
      <c r="K2" t="inlineStr">
        <is>
          <t>ADHS 2009 published tables (NHS Digital / NatCen), ZIP: adhs-2009-tab3</t>
        </is>
      </c>
    </row>
    <row r="3">
      <c r="A3" t="inlineStr">
        <is>
          <t>restoration</t>
        </is>
      </c>
      <c r="B3" t="inlineStr">
        <is>
          <t>mean restored, otherwise sound teeth</t>
        </is>
      </c>
      <c r="C3" t="inlineStr">
        <is>
          <t>teeth per person</t>
        </is>
      </c>
      <c r="D3" t="inlineStr">
        <is>
          <t>England</t>
        </is>
      </c>
      <c r="E3" t="n">
        <v>1988</v>
      </c>
      <c r="F3" t="inlineStr">
        <is>
          <t>All</t>
        </is>
      </c>
      <c r="G3" t="n">
        <v>8.4</v>
      </c>
      <c r="H3" t="inlineStr">
        <is>
          <t>1988 criteria</t>
        </is>
      </c>
      <c r="I3" t="inlineStr">
        <is>
          <t>ADHS 2009 Table 4.3.1</t>
        </is>
      </c>
      <c r="J3" t="inlineStr">
        <is>
          <t>dentate adults</t>
        </is>
      </c>
      <c r="K3" t="inlineStr">
        <is>
          <t>ADHS 2009 published tables (NHS Digital / NatCen), ZIP: adhs-2009-tab3</t>
        </is>
      </c>
    </row>
    <row r="4">
      <c r="A4" t="inlineStr">
        <is>
          <t>restoration</t>
        </is>
      </c>
      <c r="B4" t="inlineStr">
        <is>
          <t>mean restored, otherwise sound teeth</t>
        </is>
      </c>
      <c r="C4" t="inlineStr">
        <is>
          <t>teeth per person</t>
        </is>
      </c>
      <c r="D4" t="inlineStr">
        <is>
          <t>England</t>
        </is>
      </c>
      <c r="E4" t="n">
        <v>1998</v>
      </c>
      <c r="F4" t="inlineStr">
        <is>
          <t>All</t>
        </is>
      </c>
      <c r="G4" t="n">
        <v>8</v>
      </c>
      <c r="H4" t="inlineStr">
        <is>
          <t>1988 criteria</t>
        </is>
      </c>
      <c r="I4" t="inlineStr">
        <is>
          <t>ADHS 2009 Table 4.3.1</t>
        </is>
      </c>
      <c r="J4" t="inlineStr">
        <is>
          <t>dentate adults</t>
        </is>
      </c>
      <c r="K4" t="inlineStr">
        <is>
          <t>ADHS 2009 published tables (NHS Digital / NatCen), ZIP: adhs-2009-tab3</t>
        </is>
      </c>
    </row>
    <row r="5">
      <c r="A5" t="inlineStr">
        <is>
          <t>restoration</t>
        </is>
      </c>
      <c r="B5" t="inlineStr">
        <is>
          <t>mean restored, otherwise sound teeth</t>
        </is>
      </c>
      <c r="C5" t="inlineStr">
        <is>
          <t>teeth per person</t>
        </is>
      </c>
      <c r="D5" t="inlineStr">
        <is>
          <t>England</t>
        </is>
      </c>
      <c r="E5" t="n">
        <v>1998</v>
      </c>
      <c r="F5" t="inlineStr">
        <is>
          <t>All</t>
        </is>
      </c>
      <c r="G5" t="n">
        <v>7.8</v>
      </c>
      <c r="H5" t="inlineStr">
        <is>
          <t>1998 criteria</t>
        </is>
      </c>
      <c r="I5" t="inlineStr">
        <is>
          <t>ADHS 2009 Table 4.3.1</t>
        </is>
      </c>
      <c r="J5" t="inlineStr">
        <is>
          <t>dentate adults</t>
        </is>
      </c>
      <c r="K5" t="inlineStr">
        <is>
          <t>ADHS 2009 published tables (NHS Digital / NatCen), ZIP: adhs-2009-tab3</t>
        </is>
      </c>
    </row>
    <row r="6">
      <c r="A6" t="inlineStr">
        <is>
          <t>restoration</t>
        </is>
      </c>
      <c r="B6" t="inlineStr">
        <is>
          <t>mean restored, otherwise sound teeth</t>
        </is>
      </c>
      <c r="C6" t="inlineStr">
        <is>
          <t>teeth per person</t>
        </is>
      </c>
      <c r="D6" t="inlineStr">
        <is>
          <t>England</t>
        </is>
      </c>
      <c r="E6" t="n">
        <v>2009</v>
      </c>
      <c r="F6" t="inlineStr">
        <is>
          <t>All</t>
        </is>
      </c>
      <c r="G6" t="n">
        <v>6.8</v>
      </c>
      <c r="H6" t="inlineStr">
        <is>
          <t>1998 criteria, age-adjusted</t>
        </is>
      </c>
      <c r="I6" t="inlineStr">
        <is>
          <t>ADHS 2009 Table 4.3.1</t>
        </is>
      </c>
      <c r="J6" t="inlineStr">
        <is>
          <t>dentate adults</t>
        </is>
      </c>
      <c r="K6" t="inlineStr">
        <is>
          <t>ADHS 2009 published tables (NHS Digital / NatCen), ZIP: adhs-2009-tab3</t>
        </is>
      </c>
    </row>
    <row r="7">
      <c r="A7" t="inlineStr">
        <is>
          <t>restoration</t>
        </is>
      </c>
      <c r="B7" t="inlineStr">
        <is>
          <t>mean restored, otherwise sound teeth</t>
        </is>
      </c>
      <c r="C7" t="inlineStr">
        <is>
          <t>teeth per person</t>
        </is>
      </c>
      <c r="D7" t="inlineStr">
        <is>
          <t>England</t>
        </is>
      </c>
      <c r="E7" t="n">
        <v>2009</v>
      </c>
      <c r="F7" t="inlineStr">
        <is>
          <t>All</t>
        </is>
      </c>
      <c r="G7" t="n">
        <v>6.7</v>
      </c>
      <c r="H7" t="inlineStr">
        <is>
          <t>1998 criteria, unadjusted</t>
        </is>
      </c>
      <c r="I7" t="inlineStr">
        <is>
          <t>ADHS 2009 Table 4.3.1</t>
        </is>
      </c>
      <c r="J7" t="inlineStr">
        <is>
          <t>dentate adults</t>
        </is>
      </c>
      <c r="K7" t="inlineStr">
        <is>
          <t>ADHS 2009 published tables (NHS Digital / NatCen), ZIP: adhs-2009-tab3</t>
        </is>
      </c>
    </row>
    <row r="8">
      <c r="A8" t="inlineStr">
        <is>
          <t>restoration</t>
        </is>
      </c>
      <c r="B8" t="inlineStr">
        <is>
          <t>mean restored, otherwise sound teeth</t>
        </is>
      </c>
      <c r="C8" t="inlineStr">
        <is>
          <t>teeth per person</t>
        </is>
      </c>
      <c r="D8" t="inlineStr">
        <is>
          <t>England</t>
        </is>
      </c>
      <c r="E8" t="n">
        <v>1978</v>
      </c>
      <c r="F8" t="inlineStr">
        <is>
          <t>16-24</t>
        </is>
      </c>
      <c r="G8" t="n">
        <v>7.8</v>
      </c>
      <c r="H8" t="inlineStr">
        <is>
          <t>1988 criteria</t>
        </is>
      </c>
      <c r="I8" t="inlineStr">
        <is>
          <t>ADHS 2009 Table 4.3.1</t>
        </is>
      </c>
      <c r="J8" t="inlineStr">
        <is>
          <t>dentate adults</t>
        </is>
      </c>
      <c r="K8" t="inlineStr">
        <is>
          <t>ADHS 2009 published tables (NHS Digital / NatCen), ZIP: adhs-2009-tab3</t>
        </is>
      </c>
    </row>
    <row r="9">
      <c r="A9" t="inlineStr">
        <is>
          <t>restoration</t>
        </is>
      </c>
      <c r="B9" t="inlineStr">
        <is>
          <t>mean restored, otherwise sound teeth</t>
        </is>
      </c>
      <c r="C9" t="inlineStr">
        <is>
          <t>teeth per person</t>
        </is>
      </c>
      <c r="D9" t="inlineStr">
        <is>
          <t>England</t>
        </is>
      </c>
      <c r="E9" t="n">
        <v>1988</v>
      </c>
      <c r="F9" t="inlineStr">
        <is>
          <t>16-24</t>
        </is>
      </c>
      <c r="G9" t="n">
        <v>5.2</v>
      </c>
      <c r="H9" t="inlineStr">
        <is>
          <t>1988 criteria</t>
        </is>
      </c>
      <c r="I9" t="inlineStr">
        <is>
          <t>ADHS 2009 Table 4.3.1</t>
        </is>
      </c>
      <c r="J9" t="inlineStr">
        <is>
          <t>dentate adults</t>
        </is>
      </c>
      <c r="K9" t="inlineStr">
        <is>
          <t>ADHS 2009 published tables (NHS Digital / NatCen), ZIP: adhs-2009-tab3</t>
        </is>
      </c>
    </row>
    <row r="10">
      <c r="A10" t="inlineStr">
        <is>
          <t>restoration</t>
        </is>
      </c>
      <c r="B10" t="inlineStr">
        <is>
          <t>mean restored, otherwise sound teeth</t>
        </is>
      </c>
      <c r="C10" t="inlineStr">
        <is>
          <t>teeth per person</t>
        </is>
      </c>
      <c r="D10" t="inlineStr">
        <is>
          <t>England</t>
        </is>
      </c>
      <c r="E10" t="n">
        <v>1998</v>
      </c>
      <c r="F10" t="inlineStr">
        <is>
          <t>16-24</t>
        </is>
      </c>
      <c r="G10" t="n">
        <v>2.6</v>
      </c>
      <c r="H10" t="inlineStr">
        <is>
          <t>1988 criteria</t>
        </is>
      </c>
      <c r="I10" t="inlineStr">
        <is>
          <t>ADHS 2009 Table 4.3.1</t>
        </is>
      </c>
      <c r="J10" t="inlineStr">
        <is>
          <t>dentate adults</t>
        </is>
      </c>
      <c r="K10" t="inlineStr">
        <is>
          <t>ADHS 2009 published tables (NHS Digital / NatCen), ZIP: adhs-2009-tab3</t>
        </is>
      </c>
    </row>
    <row r="11">
      <c r="A11" t="inlineStr">
        <is>
          <t>restoration</t>
        </is>
      </c>
      <c r="B11" t="inlineStr">
        <is>
          <t>mean restored, otherwise sound teeth</t>
        </is>
      </c>
      <c r="C11" t="inlineStr">
        <is>
          <t>teeth per person</t>
        </is>
      </c>
      <c r="D11" t="inlineStr">
        <is>
          <t>England</t>
        </is>
      </c>
      <c r="E11" t="n">
        <v>1998</v>
      </c>
      <c r="F11" t="inlineStr">
        <is>
          <t>16-24</t>
        </is>
      </c>
      <c r="G11" t="n">
        <v>2.4</v>
      </c>
      <c r="H11" t="inlineStr">
        <is>
          <t>1998 criteria</t>
        </is>
      </c>
      <c r="I11" t="inlineStr">
        <is>
          <t>ADHS 2009 Table 4.3.1</t>
        </is>
      </c>
      <c r="J11" t="inlineStr">
        <is>
          <t>dentate adults</t>
        </is>
      </c>
      <c r="K11" t="inlineStr">
        <is>
          <t>ADHS 2009 published tables (NHS Digital / NatCen), ZIP: adhs-2009-tab3</t>
        </is>
      </c>
    </row>
    <row r="12">
      <c r="A12" t="inlineStr">
        <is>
          <t>restoration</t>
        </is>
      </c>
      <c r="B12" t="inlineStr">
        <is>
          <t>mean restored, otherwise sound teeth</t>
        </is>
      </c>
      <c r="C12" t="inlineStr">
        <is>
          <t>teeth per person</t>
        </is>
      </c>
      <c r="D12" t="inlineStr">
        <is>
          <t>England</t>
        </is>
      </c>
      <c r="E12" t="n">
        <v>2009</v>
      </c>
      <c r="F12" t="inlineStr">
        <is>
          <t>16-24</t>
        </is>
      </c>
      <c r="G12" t="n">
        <v>1.7</v>
      </c>
      <c r="H12" t="inlineStr">
        <is>
          <t>1998 criteria, age-adjusted</t>
        </is>
      </c>
      <c r="I12" t="inlineStr">
        <is>
          <t>ADHS 2009 Table 4.3.1</t>
        </is>
      </c>
      <c r="J12" t="inlineStr">
        <is>
          <t>dentate adults</t>
        </is>
      </c>
      <c r="K12" t="inlineStr">
        <is>
          <t>ADHS 2009 published tables (NHS Digital / NatCen), ZIP: adhs-2009-tab3</t>
        </is>
      </c>
    </row>
    <row r="13">
      <c r="A13" t="inlineStr">
        <is>
          <t>restoration</t>
        </is>
      </c>
      <c r="B13" t="inlineStr">
        <is>
          <t>mean restored, otherwise sound teeth</t>
        </is>
      </c>
      <c r="C13" t="inlineStr">
        <is>
          <t>teeth per person</t>
        </is>
      </c>
      <c r="D13" t="inlineStr">
        <is>
          <t>England</t>
        </is>
      </c>
      <c r="E13" t="n">
        <v>2009</v>
      </c>
      <c r="F13" t="inlineStr">
        <is>
          <t>16-24</t>
        </is>
      </c>
      <c r="G13" t="n">
        <v>1.6</v>
      </c>
      <c r="H13" t="inlineStr">
        <is>
          <t>1998 criteria, unadjusted</t>
        </is>
      </c>
      <c r="I13" t="inlineStr">
        <is>
          <t>ADHS 2009 Table 4.3.1</t>
        </is>
      </c>
      <c r="J13" t="inlineStr">
        <is>
          <t>dentate adults</t>
        </is>
      </c>
      <c r="K13" t="inlineStr">
        <is>
          <t>ADHS 2009 published tables (NHS Digital / NatCen), ZIP: adhs-2009-tab3</t>
        </is>
      </c>
    </row>
    <row r="14">
      <c r="A14" t="inlineStr">
        <is>
          <t>restoration</t>
        </is>
      </c>
      <c r="B14" t="inlineStr">
        <is>
          <t>mean restored, otherwise sound teeth</t>
        </is>
      </c>
      <c r="C14" t="inlineStr">
        <is>
          <t>teeth per person</t>
        </is>
      </c>
      <c r="D14" t="inlineStr">
        <is>
          <t>England</t>
        </is>
      </c>
      <c r="E14" t="n">
        <v>1978</v>
      </c>
      <c r="F14" t="inlineStr">
        <is>
          <t>25-34</t>
        </is>
      </c>
      <c r="G14" t="n">
        <v>10</v>
      </c>
      <c r="H14" t="inlineStr">
        <is>
          <t>1988 criteria</t>
        </is>
      </c>
      <c r="I14" t="inlineStr">
        <is>
          <t>ADHS 2009 Table 4.3.1</t>
        </is>
      </c>
      <c r="J14" t="inlineStr">
        <is>
          <t>dentate adults</t>
        </is>
      </c>
      <c r="K14" t="inlineStr">
        <is>
          <t>ADHS 2009 published tables (NHS Digital / NatCen), ZIP: adhs-2009-tab3</t>
        </is>
      </c>
    </row>
    <row r="15">
      <c r="A15" t="inlineStr">
        <is>
          <t>restoration</t>
        </is>
      </c>
      <c r="B15" t="inlineStr">
        <is>
          <t>mean restored, otherwise sound teeth</t>
        </is>
      </c>
      <c r="C15" t="inlineStr">
        <is>
          <t>teeth per person</t>
        </is>
      </c>
      <c r="D15" t="inlineStr">
        <is>
          <t>England</t>
        </is>
      </c>
      <c r="E15" t="n">
        <v>1988</v>
      </c>
      <c r="F15" t="inlineStr">
        <is>
          <t>25-34</t>
        </is>
      </c>
      <c r="G15" t="n">
        <v>9.9</v>
      </c>
      <c r="H15" t="inlineStr">
        <is>
          <t>1988 criteria</t>
        </is>
      </c>
      <c r="I15" t="inlineStr">
        <is>
          <t>ADHS 2009 Table 4.3.1</t>
        </is>
      </c>
      <c r="J15" t="inlineStr">
        <is>
          <t>dentate adults</t>
        </is>
      </c>
      <c r="K15" t="inlineStr">
        <is>
          <t>ADHS 2009 published tables (NHS Digital / NatCen), ZIP: adhs-2009-tab3</t>
        </is>
      </c>
    </row>
    <row r="16">
      <c r="A16" t="inlineStr">
        <is>
          <t>restoration</t>
        </is>
      </c>
      <c r="B16" t="inlineStr">
        <is>
          <t>mean restored, otherwise sound teeth</t>
        </is>
      </c>
      <c r="C16" t="inlineStr">
        <is>
          <t>teeth per person</t>
        </is>
      </c>
      <c r="D16" t="inlineStr">
        <is>
          <t>England</t>
        </is>
      </c>
      <c r="E16" t="n">
        <v>1998</v>
      </c>
      <c r="F16" t="inlineStr">
        <is>
          <t>25-34</t>
        </is>
      </c>
      <c r="G16" t="n">
        <v>7.1</v>
      </c>
      <c r="H16" t="inlineStr">
        <is>
          <t>1988 criteria</t>
        </is>
      </c>
      <c r="I16" t="inlineStr">
        <is>
          <t>ADHS 2009 Table 4.3.1</t>
        </is>
      </c>
      <c r="J16" t="inlineStr">
        <is>
          <t>dentate adults</t>
        </is>
      </c>
      <c r="K16" t="inlineStr">
        <is>
          <t>ADHS 2009 published tables (NHS Digital / NatCen), ZIP: adhs-2009-tab3</t>
        </is>
      </c>
    </row>
    <row r="17">
      <c r="A17" t="inlineStr">
        <is>
          <t>restoration</t>
        </is>
      </c>
      <c r="B17" t="inlineStr">
        <is>
          <t>mean restored, otherwise sound teeth</t>
        </is>
      </c>
      <c r="C17" t="inlineStr">
        <is>
          <t>teeth per person</t>
        </is>
      </c>
      <c r="D17" t="inlineStr">
        <is>
          <t>England</t>
        </is>
      </c>
      <c r="E17" t="n">
        <v>1998</v>
      </c>
      <c r="F17" t="inlineStr">
        <is>
          <t>25-34</t>
        </is>
      </c>
      <c r="G17" t="n">
        <v>6.9</v>
      </c>
      <c r="H17" t="inlineStr">
        <is>
          <t>1998 criteria</t>
        </is>
      </c>
      <c r="I17" t="inlineStr">
        <is>
          <t>ADHS 2009 Table 4.3.1</t>
        </is>
      </c>
      <c r="J17" t="inlineStr">
        <is>
          <t>dentate adults</t>
        </is>
      </c>
      <c r="K17" t="inlineStr">
        <is>
          <t>ADHS 2009 published tables (NHS Digital / NatCen), ZIP: adhs-2009-tab3</t>
        </is>
      </c>
    </row>
    <row r="18">
      <c r="A18" t="inlineStr">
        <is>
          <t>restoration</t>
        </is>
      </c>
      <c r="B18" t="inlineStr">
        <is>
          <t>mean restored, otherwise sound teeth</t>
        </is>
      </c>
      <c r="C18" t="inlineStr">
        <is>
          <t>teeth per person</t>
        </is>
      </c>
      <c r="D18" t="inlineStr">
        <is>
          <t>England</t>
        </is>
      </c>
      <c r="E18" t="n">
        <v>2009</v>
      </c>
      <c r="F18" t="inlineStr">
        <is>
          <t>25-34</t>
        </is>
      </c>
      <c r="G18" t="n">
        <v>3.8</v>
      </c>
      <c r="H18" t="inlineStr">
        <is>
          <t>1998 criteria, age-adjusted</t>
        </is>
      </c>
      <c r="I18" t="inlineStr">
        <is>
          <t>ADHS 2009 Table 4.3.1</t>
        </is>
      </c>
      <c r="J18" t="inlineStr">
        <is>
          <t>dentate adults</t>
        </is>
      </c>
      <c r="K18" t="inlineStr">
        <is>
          <t>ADHS 2009 published tables (NHS Digital / NatCen), ZIP: adhs-2009-tab3</t>
        </is>
      </c>
    </row>
    <row r="19">
      <c r="A19" t="inlineStr">
        <is>
          <t>restoration</t>
        </is>
      </c>
      <c r="B19" t="inlineStr">
        <is>
          <t>mean restored, otherwise sound teeth</t>
        </is>
      </c>
      <c r="C19" t="inlineStr">
        <is>
          <t>teeth per person</t>
        </is>
      </c>
      <c r="D19" t="inlineStr">
        <is>
          <t>England</t>
        </is>
      </c>
      <c r="E19" t="n">
        <v>2009</v>
      </c>
      <c r="F19" t="inlineStr">
        <is>
          <t>25-34</t>
        </is>
      </c>
      <c r="G19" t="n">
        <v>3.6</v>
      </c>
      <c r="H19" t="inlineStr">
        <is>
          <t>1998 criteria, unadjusted</t>
        </is>
      </c>
      <c r="I19" t="inlineStr">
        <is>
          <t>ADHS 2009 Table 4.3.1</t>
        </is>
      </c>
      <c r="J19" t="inlineStr">
        <is>
          <t>dentate adults</t>
        </is>
      </c>
      <c r="K19" t="inlineStr">
        <is>
          <t>ADHS 2009 published tables (NHS Digital / NatCen), ZIP: adhs-2009-tab3</t>
        </is>
      </c>
    </row>
    <row r="20">
      <c r="A20" t="inlineStr">
        <is>
          <t>restoration</t>
        </is>
      </c>
      <c r="B20" t="inlineStr">
        <is>
          <t>mean restored, otherwise sound teeth</t>
        </is>
      </c>
      <c r="C20" t="inlineStr">
        <is>
          <t>teeth per person</t>
        </is>
      </c>
      <c r="D20" t="inlineStr">
        <is>
          <t>England</t>
        </is>
      </c>
      <c r="E20" t="n">
        <v>1978</v>
      </c>
      <c r="F20" t="inlineStr">
        <is>
          <t>35-44</t>
        </is>
      </c>
      <c r="G20" t="n">
        <v>9</v>
      </c>
      <c r="H20" t="inlineStr">
        <is>
          <t>1988 criteria</t>
        </is>
      </c>
      <c r="I20" t="inlineStr">
        <is>
          <t>ADHS 2009 Table 4.3.1</t>
        </is>
      </c>
      <c r="J20" t="inlineStr">
        <is>
          <t>dentate adults</t>
        </is>
      </c>
      <c r="K20" t="inlineStr">
        <is>
          <t>ADHS 2009 published tables (NHS Digital / NatCen), ZIP: adhs-2009-tab3</t>
        </is>
      </c>
    </row>
    <row r="21">
      <c r="A21" t="inlineStr">
        <is>
          <t>restoration</t>
        </is>
      </c>
      <c r="B21" t="inlineStr">
        <is>
          <t>mean restored, otherwise sound teeth</t>
        </is>
      </c>
      <c r="C21" t="inlineStr">
        <is>
          <t>teeth per person</t>
        </is>
      </c>
      <c r="D21" t="inlineStr">
        <is>
          <t>England</t>
        </is>
      </c>
      <c r="E21" t="n">
        <v>1988</v>
      </c>
      <c r="F21" t="inlineStr">
        <is>
          <t>35-44</t>
        </is>
      </c>
      <c r="G21" t="n">
        <v>11.2</v>
      </c>
      <c r="H21" t="inlineStr">
        <is>
          <t>1988 criteria</t>
        </is>
      </c>
      <c r="I21" t="inlineStr">
        <is>
          <t>ADHS 2009 Table 4.3.1</t>
        </is>
      </c>
      <c r="J21" t="inlineStr">
        <is>
          <t>dentate adults</t>
        </is>
      </c>
      <c r="K21" t="inlineStr">
        <is>
          <t>ADHS 2009 published tables (NHS Digital / NatCen), ZIP: adhs-2009-tab3</t>
        </is>
      </c>
    </row>
    <row r="22">
      <c r="A22" t="inlineStr">
        <is>
          <t>restoration</t>
        </is>
      </c>
      <c r="B22" t="inlineStr">
        <is>
          <t>mean restored, otherwise sound teeth</t>
        </is>
      </c>
      <c r="C22" t="inlineStr">
        <is>
          <t>teeth per person</t>
        </is>
      </c>
      <c r="D22" t="inlineStr">
        <is>
          <t>England</t>
        </is>
      </c>
      <c r="E22" t="n">
        <v>1998</v>
      </c>
      <c r="F22" t="inlineStr">
        <is>
          <t>35-44</t>
        </is>
      </c>
      <c r="G22" t="n">
        <v>9.800000000000001</v>
      </c>
      <c r="H22" t="inlineStr">
        <is>
          <t>1988 criteria</t>
        </is>
      </c>
      <c r="I22" t="inlineStr">
        <is>
          <t>ADHS 2009 Table 4.3.1</t>
        </is>
      </c>
      <c r="J22" t="inlineStr">
        <is>
          <t>dentate adults</t>
        </is>
      </c>
      <c r="K22" t="inlineStr">
        <is>
          <t>ADHS 2009 published tables (NHS Digital / NatCen), ZIP: adhs-2009-tab3</t>
        </is>
      </c>
    </row>
    <row r="23">
      <c r="A23" t="inlineStr">
        <is>
          <t>restoration</t>
        </is>
      </c>
      <c r="B23" t="inlineStr">
        <is>
          <t>mean restored, otherwise sound teeth</t>
        </is>
      </c>
      <c r="C23" t="inlineStr">
        <is>
          <t>teeth per person</t>
        </is>
      </c>
      <c r="D23" t="inlineStr">
        <is>
          <t>England</t>
        </is>
      </c>
      <c r="E23" t="n">
        <v>1998</v>
      </c>
      <c r="F23" t="inlineStr">
        <is>
          <t>35-44</t>
        </is>
      </c>
      <c r="G23" t="n">
        <v>9.6</v>
      </c>
      <c r="H23" t="inlineStr">
        <is>
          <t>1998 criteria</t>
        </is>
      </c>
      <c r="I23" t="inlineStr">
        <is>
          <t>ADHS 2009 Table 4.3.1</t>
        </is>
      </c>
      <c r="J23" t="inlineStr">
        <is>
          <t>dentate adults</t>
        </is>
      </c>
      <c r="K23" t="inlineStr">
        <is>
          <t>ADHS 2009 published tables (NHS Digital / NatCen), ZIP: adhs-2009-tab3</t>
        </is>
      </c>
    </row>
    <row r="24">
      <c r="A24" t="inlineStr">
        <is>
          <t>restoration</t>
        </is>
      </c>
      <c r="B24" t="inlineStr">
        <is>
          <t>mean restored, otherwise sound teeth</t>
        </is>
      </c>
      <c r="C24" t="inlineStr">
        <is>
          <t>teeth per person</t>
        </is>
      </c>
      <c r="D24" t="inlineStr">
        <is>
          <t>England</t>
        </is>
      </c>
      <c r="E24" t="n">
        <v>2009</v>
      </c>
      <c r="F24" t="inlineStr">
        <is>
          <t>35-44</t>
        </is>
      </c>
      <c r="G24" t="n">
        <v>6.9</v>
      </c>
      <c r="H24" t="inlineStr">
        <is>
          <t>1998 criteria, age-adjusted</t>
        </is>
      </c>
      <c r="I24" t="inlineStr">
        <is>
          <t>ADHS 2009 Table 4.3.1</t>
        </is>
      </c>
      <c r="J24" t="inlineStr">
        <is>
          <t>dentate adults</t>
        </is>
      </c>
      <c r="K24" t="inlineStr">
        <is>
          <t>ADHS 2009 published tables (NHS Digital / NatCen), ZIP: adhs-2009-tab3</t>
        </is>
      </c>
    </row>
    <row r="25">
      <c r="A25" t="inlineStr">
        <is>
          <t>restoration</t>
        </is>
      </c>
      <c r="B25" t="inlineStr">
        <is>
          <t>mean restored, otherwise sound teeth</t>
        </is>
      </c>
      <c r="C25" t="inlineStr">
        <is>
          <t>teeth per person</t>
        </is>
      </c>
      <c r="D25" t="inlineStr">
        <is>
          <t>England</t>
        </is>
      </c>
      <c r="E25" t="n">
        <v>2009</v>
      </c>
      <c r="F25" t="inlineStr">
        <is>
          <t>35-44</t>
        </is>
      </c>
      <c r="G25" t="n">
        <v>6.5</v>
      </c>
      <c r="H25" t="inlineStr">
        <is>
          <t>1998 criteria, unadjusted</t>
        </is>
      </c>
      <c r="I25" t="inlineStr">
        <is>
          <t>ADHS 2009 Table 4.3.1</t>
        </is>
      </c>
      <c r="J25" t="inlineStr">
        <is>
          <t>dentate adults</t>
        </is>
      </c>
      <c r="K25" t="inlineStr">
        <is>
          <t>ADHS 2009 published tables (NHS Digital / NatCen), ZIP: adhs-2009-tab3</t>
        </is>
      </c>
    </row>
    <row r="26">
      <c r="A26" t="inlineStr">
        <is>
          <t>restoration</t>
        </is>
      </c>
      <c r="B26" t="inlineStr">
        <is>
          <t>mean restored, otherwise sound teeth</t>
        </is>
      </c>
      <c r="C26" t="inlineStr">
        <is>
          <t>teeth per person</t>
        </is>
      </c>
      <c r="D26" t="inlineStr">
        <is>
          <t>England</t>
        </is>
      </c>
      <c r="E26" t="n">
        <v>1978</v>
      </c>
      <c r="F26" t="inlineStr">
        <is>
          <t>45-54</t>
        </is>
      </c>
      <c r="G26" t="n">
        <v>7.2</v>
      </c>
      <c r="H26" t="inlineStr">
        <is>
          <t>1988 criteria</t>
        </is>
      </c>
      <c r="I26" t="inlineStr">
        <is>
          <t>ADHS 2009 Table 4.3.1</t>
        </is>
      </c>
      <c r="J26" t="inlineStr">
        <is>
          <t>dentate adults</t>
        </is>
      </c>
      <c r="K26" t="inlineStr">
        <is>
          <t>ADHS 2009 published tables (NHS Digital / NatCen), ZIP: adhs-2009-tab3</t>
        </is>
      </c>
    </row>
    <row r="27">
      <c r="A27" t="inlineStr">
        <is>
          <t>restoration</t>
        </is>
      </c>
      <c r="B27" t="inlineStr">
        <is>
          <t>mean restored, otherwise sound teeth</t>
        </is>
      </c>
      <c r="C27" t="inlineStr">
        <is>
          <t>teeth per person</t>
        </is>
      </c>
      <c r="D27" t="inlineStr">
        <is>
          <t>England</t>
        </is>
      </c>
      <c r="E27" t="n">
        <v>1988</v>
      </c>
      <c r="F27" t="inlineStr">
        <is>
          <t>45-54</t>
        </is>
      </c>
      <c r="G27" t="n">
        <v>9.800000000000001</v>
      </c>
      <c r="H27" t="inlineStr">
        <is>
          <t>1988 criteria</t>
        </is>
      </c>
      <c r="I27" t="inlineStr">
        <is>
          <t>ADHS 2009 Table 4.3.1</t>
        </is>
      </c>
      <c r="J27" t="inlineStr">
        <is>
          <t>dentate adults</t>
        </is>
      </c>
      <c r="K27" t="inlineStr">
        <is>
          <t>ADHS 2009 published tables (NHS Digital / NatCen), ZIP: adhs-2009-tab3</t>
        </is>
      </c>
    </row>
    <row r="28">
      <c r="A28" t="inlineStr">
        <is>
          <t>restoration</t>
        </is>
      </c>
      <c r="B28" t="inlineStr">
        <is>
          <t>mean restored, otherwise sound teeth</t>
        </is>
      </c>
      <c r="C28" t="inlineStr">
        <is>
          <t>teeth per person</t>
        </is>
      </c>
      <c r="D28" t="inlineStr">
        <is>
          <t>England</t>
        </is>
      </c>
      <c r="E28" t="n">
        <v>1998</v>
      </c>
      <c r="F28" t="inlineStr">
        <is>
          <t>45-54</t>
        </is>
      </c>
      <c r="G28" t="n">
        <v>11.2</v>
      </c>
      <c r="H28" t="inlineStr">
        <is>
          <t>1988 criteria</t>
        </is>
      </c>
      <c r="I28" t="inlineStr">
        <is>
          <t>ADHS 2009 Table 4.3.1</t>
        </is>
      </c>
      <c r="J28" t="inlineStr">
        <is>
          <t>dentate adults</t>
        </is>
      </c>
      <c r="K28" t="inlineStr">
        <is>
          <t>ADHS 2009 published tables (NHS Digital / NatCen), ZIP: adhs-2009-tab3</t>
        </is>
      </c>
    </row>
    <row r="29">
      <c r="A29" t="inlineStr">
        <is>
          <t>restoration</t>
        </is>
      </c>
      <c r="B29" t="inlineStr">
        <is>
          <t>mean restored, otherwise sound teeth</t>
        </is>
      </c>
      <c r="C29" t="inlineStr">
        <is>
          <t>teeth per person</t>
        </is>
      </c>
      <c r="D29" t="inlineStr">
        <is>
          <t>England</t>
        </is>
      </c>
      <c r="E29" t="n">
        <v>1998</v>
      </c>
      <c r="F29" t="inlineStr">
        <is>
          <t>45-54</t>
        </is>
      </c>
      <c r="G29" t="n">
        <v>10.9</v>
      </c>
      <c r="H29" t="inlineStr">
        <is>
          <t>1998 criteria</t>
        </is>
      </c>
      <c r="I29" t="inlineStr">
        <is>
          <t>ADHS 2009 Table 4.3.1</t>
        </is>
      </c>
      <c r="J29" t="inlineStr">
        <is>
          <t>dentate adults</t>
        </is>
      </c>
      <c r="K29" t="inlineStr">
        <is>
          <t>ADHS 2009 published tables (NHS Digital / NatCen), ZIP: adhs-2009-tab3</t>
        </is>
      </c>
    </row>
    <row r="30">
      <c r="A30" t="inlineStr">
        <is>
          <t>restoration</t>
        </is>
      </c>
      <c r="B30" t="inlineStr">
        <is>
          <t>mean restored, otherwise sound teeth</t>
        </is>
      </c>
      <c r="C30" t="inlineStr">
        <is>
          <t>teeth per person</t>
        </is>
      </c>
      <c r="D30" t="inlineStr">
        <is>
          <t>England</t>
        </is>
      </c>
      <c r="E30" t="n">
        <v>2009</v>
      </c>
      <c r="F30" t="inlineStr">
        <is>
          <t>45-54</t>
        </is>
      </c>
      <c r="G30" t="n">
        <v>10</v>
      </c>
      <c r="H30" t="inlineStr">
        <is>
          <t>1998 criteria, age-adjusted</t>
        </is>
      </c>
      <c r="I30" t="inlineStr">
        <is>
          <t>ADHS 2009 Table 4.3.1</t>
        </is>
      </c>
      <c r="J30" t="inlineStr">
        <is>
          <t>dentate adults</t>
        </is>
      </c>
      <c r="K30" t="inlineStr">
        <is>
          <t>ADHS 2009 published tables (NHS Digital / NatCen), ZIP: adhs-2009-tab3</t>
        </is>
      </c>
    </row>
    <row r="31">
      <c r="A31" t="inlineStr">
        <is>
          <t>restoration</t>
        </is>
      </c>
      <c r="B31" t="inlineStr">
        <is>
          <t>mean restored, otherwise sound teeth</t>
        </is>
      </c>
      <c r="C31" t="inlineStr">
        <is>
          <t>teeth per person</t>
        </is>
      </c>
      <c r="D31" t="inlineStr">
        <is>
          <t>England</t>
        </is>
      </c>
      <c r="E31" t="n">
        <v>2009</v>
      </c>
      <c r="F31" t="inlineStr">
        <is>
          <t>45-54</t>
        </is>
      </c>
      <c r="G31" t="n">
        <v>9.9</v>
      </c>
      <c r="H31" t="inlineStr">
        <is>
          <t>1998 criteria, unadjusted</t>
        </is>
      </c>
      <c r="I31" t="inlineStr">
        <is>
          <t>ADHS 2009 Table 4.3.1</t>
        </is>
      </c>
      <c r="J31" t="inlineStr">
        <is>
          <t>dentate adults</t>
        </is>
      </c>
      <c r="K31" t="inlineStr">
        <is>
          <t>ADHS 2009 published tables (NHS Digital / NatCen), ZIP: adhs-2009-tab3</t>
        </is>
      </c>
    </row>
    <row r="32">
      <c r="A32" t="inlineStr">
        <is>
          <t>restoration</t>
        </is>
      </c>
      <c r="B32" t="inlineStr">
        <is>
          <t>mean restored, otherwise sound teeth</t>
        </is>
      </c>
      <c r="C32" t="inlineStr">
        <is>
          <t>teeth per person</t>
        </is>
      </c>
      <c r="D32" t="inlineStr">
        <is>
          <t>England</t>
        </is>
      </c>
      <c r="E32" t="n">
        <v>1978</v>
      </c>
      <c r="F32" t="inlineStr">
        <is>
          <t>55-64</t>
        </is>
      </c>
      <c r="G32" t="n">
        <v>4.9</v>
      </c>
      <c r="H32" t="inlineStr">
        <is>
          <t>1988 criteria</t>
        </is>
      </c>
      <c r="I32" t="inlineStr">
        <is>
          <t>ADHS 2009 Table 4.3.1</t>
        </is>
      </c>
      <c r="J32" t="inlineStr">
        <is>
          <t>dentate adults</t>
        </is>
      </c>
      <c r="K32" t="inlineStr">
        <is>
          <t>ADHS 2009 published tables (NHS Digital / NatCen), ZIP: adhs-2009-tab3</t>
        </is>
      </c>
    </row>
    <row r="33">
      <c r="A33" t="inlineStr">
        <is>
          <t>restoration</t>
        </is>
      </c>
      <c r="B33" t="inlineStr">
        <is>
          <t>mean restored, otherwise sound teeth</t>
        </is>
      </c>
      <c r="C33" t="inlineStr">
        <is>
          <t>teeth per person</t>
        </is>
      </c>
      <c r="D33" t="inlineStr">
        <is>
          <t>England</t>
        </is>
      </c>
      <c r="E33" t="n">
        <v>1988</v>
      </c>
      <c r="F33" t="inlineStr">
        <is>
          <t>55-64</t>
        </is>
      </c>
      <c r="G33" t="n">
        <v>6.3</v>
      </c>
      <c r="H33" t="inlineStr">
        <is>
          <t>1988 criteria</t>
        </is>
      </c>
      <c r="I33" t="inlineStr">
        <is>
          <t>ADHS 2009 Table 4.3.1</t>
        </is>
      </c>
      <c r="J33" t="inlineStr">
        <is>
          <t>dentate adults</t>
        </is>
      </c>
      <c r="K33" t="inlineStr">
        <is>
          <t>ADHS 2009 published tables (NHS Digital / NatCen), ZIP: adhs-2009-tab3</t>
        </is>
      </c>
    </row>
    <row r="34">
      <c r="A34" t="inlineStr">
        <is>
          <t>restoration</t>
        </is>
      </c>
      <c r="B34" t="inlineStr">
        <is>
          <t>mean restored, otherwise sound teeth</t>
        </is>
      </c>
      <c r="C34" t="inlineStr">
        <is>
          <t>teeth per person</t>
        </is>
      </c>
      <c r="D34" t="inlineStr">
        <is>
          <t>England</t>
        </is>
      </c>
      <c r="E34" t="n">
        <v>1998</v>
      </c>
      <c r="F34" t="inlineStr">
        <is>
          <t>55-64</t>
        </is>
      </c>
      <c r="G34" t="n">
        <v>8.4</v>
      </c>
      <c r="H34" t="inlineStr">
        <is>
          <t>1988 criteria</t>
        </is>
      </c>
      <c r="I34" t="inlineStr">
        <is>
          <t>ADHS 2009 Table 4.3.1</t>
        </is>
      </c>
      <c r="J34" t="inlineStr">
        <is>
          <t>dentate adults</t>
        </is>
      </c>
      <c r="K34" t="inlineStr">
        <is>
          <t>ADHS 2009 published tables (NHS Digital / NatCen), ZIP: adhs-2009-tab3</t>
        </is>
      </c>
    </row>
    <row r="35">
      <c r="A35" t="inlineStr">
        <is>
          <t>restoration</t>
        </is>
      </c>
      <c r="B35" t="inlineStr">
        <is>
          <t>mean restored, otherwise sound teeth</t>
        </is>
      </c>
      <c r="C35" t="inlineStr">
        <is>
          <t>teeth per person</t>
        </is>
      </c>
      <c r="D35" t="inlineStr">
        <is>
          <t>England</t>
        </is>
      </c>
      <c r="E35" t="n">
        <v>1998</v>
      </c>
      <c r="F35" t="inlineStr">
        <is>
          <t>55-64</t>
        </is>
      </c>
      <c r="G35" t="n">
        <v>9</v>
      </c>
      <c r="H35" t="inlineStr">
        <is>
          <t>1998 criteria</t>
        </is>
      </c>
      <c r="I35" t="inlineStr">
        <is>
          <t>ADHS 2009 Table 4.3.1</t>
        </is>
      </c>
      <c r="J35" t="inlineStr">
        <is>
          <t>dentate adults</t>
        </is>
      </c>
      <c r="K35" t="inlineStr">
        <is>
          <t>ADHS 2009 published tables (NHS Digital / NatCen), ZIP: adhs-2009-tab3</t>
        </is>
      </c>
    </row>
    <row r="36">
      <c r="A36" t="inlineStr">
        <is>
          <t>restoration</t>
        </is>
      </c>
      <c r="B36" t="inlineStr">
        <is>
          <t>mean restored, otherwise sound teeth</t>
        </is>
      </c>
      <c r="C36" t="inlineStr">
        <is>
          <t>teeth per person</t>
        </is>
      </c>
      <c r="D36" t="inlineStr">
        <is>
          <t>England</t>
        </is>
      </c>
      <c r="E36" t="n">
        <v>2009</v>
      </c>
      <c r="F36" t="inlineStr">
        <is>
          <t>55-64</t>
        </is>
      </c>
      <c r="G36" t="n">
        <v>10.2</v>
      </c>
      <c r="H36" t="inlineStr">
        <is>
          <t>1998 criteria, age-adjusted</t>
        </is>
      </c>
      <c r="I36" t="inlineStr">
        <is>
          <t>ADHS 2009 Table 4.3.1</t>
        </is>
      </c>
      <c r="J36" t="inlineStr">
        <is>
          <t>dentate adults</t>
        </is>
      </c>
      <c r="K36" t="inlineStr">
        <is>
          <t>ADHS 2009 published tables (NHS Digital / NatCen), ZIP: adhs-2009-tab3</t>
        </is>
      </c>
    </row>
    <row r="37">
      <c r="A37" t="inlineStr">
        <is>
          <t>restoration</t>
        </is>
      </c>
      <c r="B37" t="inlineStr">
        <is>
          <t>mean restored, otherwise sound teeth</t>
        </is>
      </c>
      <c r="C37" t="inlineStr">
        <is>
          <t>teeth per person</t>
        </is>
      </c>
      <c r="D37" t="inlineStr">
        <is>
          <t>England</t>
        </is>
      </c>
      <c r="E37" t="n">
        <v>2009</v>
      </c>
      <c r="F37" t="inlineStr">
        <is>
          <t>55-64</t>
        </is>
      </c>
      <c r="G37" t="n">
        <v>10.2</v>
      </c>
      <c r="H37" t="inlineStr">
        <is>
          <t>1998 criteria, unadjusted</t>
        </is>
      </c>
      <c r="I37" t="inlineStr">
        <is>
          <t>ADHS 2009 Table 4.3.1</t>
        </is>
      </c>
      <c r="J37" t="inlineStr">
        <is>
          <t>dentate adults</t>
        </is>
      </c>
      <c r="K37" t="inlineStr">
        <is>
          <t>ADHS 2009 published tables (NHS Digital / NatCen), ZIP: adhs-2009-tab3</t>
        </is>
      </c>
    </row>
    <row r="38">
      <c r="A38" t="inlineStr">
        <is>
          <t>restoration</t>
        </is>
      </c>
      <c r="B38" t="inlineStr">
        <is>
          <t>mean restored, otherwise sound teeth</t>
        </is>
      </c>
      <c r="C38" t="inlineStr">
        <is>
          <t>teeth per person</t>
        </is>
      </c>
      <c r="D38" t="inlineStr">
        <is>
          <t>England</t>
        </is>
      </c>
      <c r="E38" t="n">
        <v>1998</v>
      </c>
      <c r="F38" t="inlineStr">
        <is>
          <t>65 and over</t>
        </is>
      </c>
      <c r="G38" t="n">
        <v>7.7</v>
      </c>
      <c r="H38" t="inlineStr">
        <is>
          <t>1998 criteria</t>
        </is>
      </c>
      <c r="I38" t="inlineStr">
        <is>
          <t>ADHS 2009 Table 4.3.1</t>
        </is>
      </c>
      <c r="J38" t="inlineStr">
        <is>
          <t>dentate adults</t>
        </is>
      </c>
      <c r="K38" t="inlineStr">
        <is>
          <t>ADHS 2009 published tables (NHS Digital / NatCen), ZIP: adhs-2009-tab3</t>
        </is>
      </c>
    </row>
    <row r="39">
      <c r="A39" t="inlineStr">
        <is>
          <t>restoration</t>
        </is>
      </c>
      <c r="B39" t="inlineStr">
        <is>
          <t>mean restored, otherwise sound teeth</t>
        </is>
      </c>
      <c r="C39" t="inlineStr">
        <is>
          <t>teeth per person</t>
        </is>
      </c>
      <c r="D39" t="inlineStr">
        <is>
          <t>England</t>
        </is>
      </c>
      <c r="E39" t="n">
        <v>2009</v>
      </c>
      <c r="F39" t="inlineStr">
        <is>
          <t>65 and over</t>
        </is>
      </c>
      <c r="G39" t="n">
        <v>8.6</v>
      </c>
      <c r="H39" t="inlineStr">
        <is>
          <t>1998 criteria, age-adjusted</t>
        </is>
      </c>
      <c r="I39" t="inlineStr">
        <is>
          <t>ADHS 2009 Table 4.3.1</t>
        </is>
      </c>
      <c r="J39" t="inlineStr">
        <is>
          <t>dentate adults</t>
        </is>
      </c>
      <c r="K39" t="inlineStr">
        <is>
          <t>ADHS 2009 published tables (NHS Digital / NatCen), ZIP: adhs-2009-tab3</t>
        </is>
      </c>
    </row>
    <row r="40">
      <c r="A40" t="inlineStr">
        <is>
          <t>restoration</t>
        </is>
      </c>
      <c r="B40" t="inlineStr">
        <is>
          <t>mean restored, otherwise sound teeth</t>
        </is>
      </c>
      <c r="C40" t="inlineStr">
        <is>
          <t>teeth per person</t>
        </is>
      </c>
      <c r="D40" t="inlineStr">
        <is>
          <t>England</t>
        </is>
      </c>
      <c r="E40" t="n">
        <v>2009</v>
      </c>
      <c r="F40" t="inlineStr">
        <is>
          <t>65 and over</t>
        </is>
      </c>
      <c r="G40" t="n">
        <v>8.699999999999999</v>
      </c>
      <c r="H40" t="inlineStr">
        <is>
          <t>1998 criteria, unadjusted</t>
        </is>
      </c>
      <c r="I40" t="inlineStr">
        <is>
          <t>ADHS 2009 Table 4.3.1</t>
        </is>
      </c>
      <c r="J40" t="inlineStr">
        <is>
          <t>dentate adults</t>
        </is>
      </c>
      <c r="K40" t="inlineStr">
        <is>
          <t>ADHS 2009 published tables (NHS Digital / NatCen), ZIP: adhs-2009-tab3</t>
        </is>
      </c>
    </row>
    <row r="41">
      <c r="A41" t="inlineStr">
        <is>
          <t>tooth loss</t>
        </is>
      </c>
      <c r="B41" t="inlineStr">
        <is>
          <t>percentage edentate</t>
        </is>
      </c>
      <c r="C41" t="inlineStr">
        <is>
          <t>percent</t>
        </is>
      </c>
      <c r="D41" t="inlineStr">
        <is>
          <t>England</t>
        </is>
      </c>
      <c r="E41" t="n">
        <v>1978</v>
      </c>
      <c r="F41" t="inlineStr">
        <is>
          <t>All</t>
        </is>
      </c>
      <c r="G41" t="n">
        <v>28</v>
      </c>
      <c r="H41" t="inlineStr"/>
      <c r="I41" t="inlineStr">
        <is>
          <t>ADHS 2009 Table 1.5.1</t>
        </is>
      </c>
      <c r="J41" t="inlineStr">
        <is>
          <t>all adults</t>
        </is>
      </c>
      <c r="K41" t="inlineStr">
        <is>
          <t>ADHS 2009 published tables (NHS Digital / NatCen), ZIP: adhs-2009-tab3</t>
        </is>
      </c>
    </row>
    <row r="42">
      <c r="A42" t="inlineStr">
        <is>
          <t>tooth loss</t>
        </is>
      </c>
      <c r="B42" t="inlineStr">
        <is>
          <t>percentage edentate</t>
        </is>
      </c>
      <c r="C42" t="inlineStr">
        <is>
          <t>percent</t>
        </is>
      </c>
      <c r="D42" t="inlineStr">
        <is>
          <t>England</t>
        </is>
      </c>
      <c r="E42" t="n">
        <v>1988</v>
      </c>
      <c r="F42" t="inlineStr">
        <is>
          <t>All</t>
        </is>
      </c>
      <c r="G42" t="n">
        <v>20</v>
      </c>
      <c r="H42" t="inlineStr"/>
      <c r="I42" t="inlineStr">
        <is>
          <t>ADHS 2009 Table 1.5.1</t>
        </is>
      </c>
      <c r="J42" t="inlineStr">
        <is>
          <t>all adults</t>
        </is>
      </c>
      <c r="K42" t="inlineStr">
        <is>
          <t>ADHS 2009 published tables (NHS Digital / NatCen), ZIP: adhs-2009-tab3</t>
        </is>
      </c>
    </row>
    <row r="43">
      <c r="A43" t="inlineStr">
        <is>
          <t>tooth loss</t>
        </is>
      </c>
      <c r="B43" t="inlineStr">
        <is>
          <t>percentage edentate</t>
        </is>
      </c>
      <c r="C43" t="inlineStr">
        <is>
          <t>percent</t>
        </is>
      </c>
      <c r="D43" t="inlineStr">
        <is>
          <t>England</t>
        </is>
      </c>
      <c r="E43" t="n">
        <v>1998</v>
      </c>
      <c r="F43" t="inlineStr">
        <is>
          <t>All</t>
        </is>
      </c>
      <c r="G43" t="n">
        <v>12</v>
      </c>
      <c r="H43" t="inlineStr"/>
      <c r="I43" t="inlineStr">
        <is>
          <t>ADHS 2009 Table 1.5.1</t>
        </is>
      </c>
      <c r="J43" t="inlineStr">
        <is>
          <t>all adults</t>
        </is>
      </c>
      <c r="K43" t="inlineStr">
        <is>
          <t>ADHS 2009 published tables (NHS Digital / NatCen), ZIP: adhs-2009-tab3</t>
        </is>
      </c>
    </row>
    <row r="44">
      <c r="A44" t="inlineStr">
        <is>
          <t>tooth loss</t>
        </is>
      </c>
      <c r="B44" t="inlineStr">
        <is>
          <t>percentage edentate</t>
        </is>
      </c>
      <c r="C44" t="inlineStr">
        <is>
          <t>percent</t>
        </is>
      </c>
      <c r="D44" t="inlineStr">
        <is>
          <t>England</t>
        </is>
      </c>
      <c r="E44" t="n">
        <v>2009</v>
      </c>
      <c r="F44" t="inlineStr">
        <is>
          <t>All</t>
        </is>
      </c>
      <c r="G44" t="n">
        <v>6</v>
      </c>
      <c r="H44" t="inlineStr"/>
      <c r="I44" t="inlineStr">
        <is>
          <t>ADHS 2009 Table 1.5.1</t>
        </is>
      </c>
      <c r="J44" t="inlineStr">
        <is>
          <t>all adults</t>
        </is>
      </c>
      <c r="K44" t="inlineStr">
        <is>
          <t>ADHS 2009 published tables (NHS Digital / NatCen), ZIP: adhs-2009-tab3</t>
        </is>
      </c>
    </row>
    <row r="45">
      <c r="A45" t="inlineStr">
        <is>
          <t>tooth loss</t>
        </is>
      </c>
      <c r="B45" t="inlineStr">
        <is>
          <t>percentage edentate</t>
        </is>
      </c>
      <c r="C45" t="inlineStr">
        <is>
          <t>percent</t>
        </is>
      </c>
      <c r="D45" t="inlineStr">
        <is>
          <t>England</t>
        </is>
      </c>
      <c r="E45" t="n">
        <v>1978</v>
      </c>
      <c r="F45" t="inlineStr">
        <is>
          <t>16-24</t>
        </is>
      </c>
      <c r="G45" t="n">
        <v>0</v>
      </c>
      <c r="H45" t="inlineStr"/>
      <c r="I45" t="inlineStr">
        <is>
          <t>ADHS 2009 Table 1.5.1</t>
        </is>
      </c>
      <c r="J45" t="inlineStr">
        <is>
          <t>all adults</t>
        </is>
      </c>
      <c r="K45" t="inlineStr">
        <is>
          <t>ADHS 2009 published tables (NHS Digital / NatCen), ZIP: adhs-2009-tab3</t>
        </is>
      </c>
    </row>
    <row r="46">
      <c r="A46" t="inlineStr">
        <is>
          <t>tooth loss</t>
        </is>
      </c>
      <c r="B46" t="inlineStr">
        <is>
          <t>percentage edentate</t>
        </is>
      </c>
      <c r="C46" t="inlineStr">
        <is>
          <t>percent</t>
        </is>
      </c>
      <c r="D46" t="inlineStr">
        <is>
          <t>England</t>
        </is>
      </c>
      <c r="E46" t="n">
        <v>1988</v>
      </c>
      <c r="F46" t="inlineStr">
        <is>
          <t>16-24</t>
        </is>
      </c>
      <c r="G46" t="n">
        <v>0</v>
      </c>
      <c r="H46" t="inlineStr"/>
      <c r="I46" t="inlineStr">
        <is>
          <t>ADHS 2009 Table 1.5.1</t>
        </is>
      </c>
      <c r="J46" t="inlineStr">
        <is>
          <t>all adults</t>
        </is>
      </c>
      <c r="K46" t="inlineStr">
        <is>
          <t>ADHS 2009 published tables (NHS Digital / NatCen), ZIP: adhs-2009-tab3</t>
        </is>
      </c>
    </row>
    <row r="47">
      <c r="A47" t="inlineStr">
        <is>
          <t>tooth loss</t>
        </is>
      </c>
      <c r="B47" t="inlineStr">
        <is>
          <t>percentage edentate</t>
        </is>
      </c>
      <c r="C47" t="inlineStr">
        <is>
          <t>percent</t>
        </is>
      </c>
      <c r="D47" t="inlineStr">
        <is>
          <t>England</t>
        </is>
      </c>
      <c r="E47" t="n">
        <v>1998</v>
      </c>
      <c r="F47" t="inlineStr">
        <is>
          <t>16-24</t>
        </is>
      </c>
      <c r="G47" t="n">
        <v>0</v>
      </c>
      <c r="H47" t="inlineStr"/>
      <c r="I47" t="inlineStr">
        <is>
          <t>ADHS 2009 Table 1.5.1</t>
        </is>
      </c>
      <c r="J47" t="inlineStr">
        <is>
          <t>all adults</t>
        </is>
      </c>
      <c r="K47" t="inlineStr">
        <is>
          <t>ADHS 2009 published tables (NHS Digital / NatCen), ZIP: adhs-2009-tab3</t>
        </is>
      </c>
    </row>
    <row r="48">
      <c r="A48" t="inlineStr">
        <is>
          <t>tooth loss</t>
        </is>
      </c>
      <c r="B48" t="inlineStr">
        <is>
          <t>percentage edentate</t>
        </is>
      </c>
      <c r="C48" t="inlineStr">
        <is>
          <t>percent</t>
        </is>
      </c>
      <c r="D48" t="inlineStr">
        <is>
          <t>England</t>
        </is>
      </c>
      <c r="E48" t="n">
        <v>1978</v>
      </c>
      <c r="F48" t="inlineStr">
        <is>
          <t>25-34</t>
        </is>
      </c>
      <c r="G48" t="n">
        <v>3</v>
      </c>
      <c r="H48" t="inlineStr"/>
      <c r="I48" t="inlineStr">
        <is>
          <t>ADHS 2009 Table 1.5.1</t>
        </is>
      </c>
      <c r="J48" t="inlineStr">
        <is>
          <t>all adults</t>
        </is>
      </c>
      <c r="K48" t="inlineStr">
        <is>
          <t>ADHS 2009 published tables (NHS Digital / NatCen), ZIP: adhs-2009-tab3</t>
        </is>
      </c>
    </row>
    <row r="49">
      <c r="A49" t="inlineStr">
        <is>
          <t>tooth loss</t>
        </is>
      </c>
      <c r="B49" t="inlineStr">
        <is>
          <t>percentage edentate</t>
        </is>
      </c>
      <c r="C49" t="inlineStr">
        <is>
          <t>percent</t>
        </is>
      </c>
      <c r="D49" t="inlineStr">
        <is>
          <t>England</t>
        </is>
      </c>
      <c r="E49" t="n">
        <v>1988</v>
      </c>
      <c r="F49" t="inlineStr">
        <is>
          <t>25-34</t>
        </is>
      </c>
      <c r="G49" t="n">
        <v>1</v>
      </c>
      <c r="H49" t="inlineStr"/>
      <c r="I49" t="inlineStr">
        <is>
          <t>ADHS 2009 Table 1.5.1</t>
        </is>
      </c>
      <c r="J49" t="inlineStr">
        <is>
          <t>all adults</t>
        </is>
      </c>
      <c r="K49" t="inlineStr">
        <is>
          <t>ADHS 2009 published tables (NHS Digital / NatCen), ZIP: adhs-2009-tab3</t>
        </is>
      </c>
    </row>
    <row r="50">
      <c r="A50" t="inlineStr">
        <is>
          <t>tooth loss</t>
        </is>
      </c>
      <c r="B50" t="inlineStr">
        <is>
          <t>percentage edentate</t>
        </is>
      </c>
      <c r="C50" t="inlineStr">
        <is>
          <t>percent</t>
        </is>
      </c>
      <c r="D50" t="inlineStr">
        <is>
          <t>England</t>
        </is>
      </c>
      <c r="E50" t="n">
        <v>1998</v>
      </c>
      <c r="F50" t="inlineStr">
        <is>
          <t>25-34</t>
        </is>
      </c>
      <c r="G50" t="n">
        <v>0</v>
      </c>
      <c r="H50" t="inlineStr"/>
      <c r="I50" t="inlineStr">
        <is>
          <t>ADHS 2009 Table 1.5.1</t>
        </is>
      </c>
      <c r="J50" t="inlineStr">
        <is>
          <t>all adults</t>
        </is>
      </c>
      <c r="K50" t="inlineStr">
        <is>
          <t>ADHS 2009 published tables (NHS Digital / NatCen), ZIP: adhs-2009-tab3</t>
        </is>
      </c>
    </row>
    <row r="51">
      <c r="A51" t="inlineStr">
        <is>
          <t>tooth loss</t>
        </is>
      </c>
      <c r="B51" t="inlineStr">
        <is>
          <t>percentage edentate</t>
        </is>
      </c>
      <c r="C51" t="inlineStr">
        <is>
          <t>percent</t>
        </is>
      </c>
      <c r="D51" t="inlineStr">
        <is>
          <t>England</t>
        </is>
      </c>
      <c r="E51" t="n">
        <v>2009</v>
      </c>
      <c r="F51" t="inlineStr">
        <is>
          <t>25-34</t>
        </is>
      </c>
      <c r="G51" t="n">
        <v>0</v>
      </c>
      <c r="H51" t="inlineStr"/>
      <c r="I51" t="inlineStr">
        <is>
          <t>ADHS 2009 Table 1.5.1</t>
        </is>
      </c>
      <c r="J51" t="inlineStr">
        <is>
          <t>all adults</t>
        </is>
      </c>
      <c r="K51" t="inlineStr">
        <is>
          <t>ADHS 2009 published tables (NHS Digital / NatCen), ZIP: adhs-2009-tab3</t>
        </is>
      </c>
    </row>
    <row r="52">
      <c r="A52" t="inlineStr">
        <is>
          <t>tooth loss</t>
        </is>
      </c>
      <c r="B52" t="inlineStr">
        <is>
          <t>percentage edentate</t>
        </is>
      </c>
      <c r="C52" t="inlineStr">
        <is>
          <t>percent</t>
        </is>
      </c>
      <c r="D52" t="inlineStr">
        <is>
          <t>England</t>
        </is>
      </c>
      <c r="E52" t="n">
        <v>1978</v>
      </c>
      <c r="F52" t="inlineStr">
        <is>
          <t>35-44</t>
        </is>
      </c>
      <c r="G52" t="n">
        <v>11</v>
      </c>
      <c r="H52" t="inlineStr"/>
      <c r="I52" t="inlineStr">
        <is>
          <t>ADHS 2009 Table 1.5.1</t>
        </is>
      </c>
      <c r="J52" t="inlineStr">
        <is>
          <t>all adults</t>
        </is>
      </c>
      <c r="K52" t="inlineStr">
        <is>
          <t>ADHS 2009 published tables (NHS Digital / NatCen), ZIP: adhs-2009-tab3</t>
        </is>
      </c>
    </row>
    <row r="53">
      <c r="A53" t="inlineStr">
        <is>
          <t>tooth loss</t>
        </is>
      </c>
      <c r="B53" t="inlineStr">
        <is>
          <t>percentage edentate</t>
        </is>
      </c>
      <c r="C53" t="inlineStr">
        <is>
          <t>percent</t>
        </is>
      </c>
      <c r="D53" t="inlineStr">
        <is>
          <t>England</t>
        </is>
      </c>
      <c r="E53" t="n">
        <v>1988</v>
      </c>
      <c r="F53" t="inlineStr">
        <is>
          <t>35-44</t>
        </is>
      </c>
      <c r="G53" t="n">
        <v>3</v>
      </c>
      <c r="H53" t="inlineStr"/>
      <c r="I53" t="inlineStr">
        <is>
          <t>ADHS 2009 Table 1.5.1</t>
        </is>
      </c>
      <c r="J53" t="inlineStr">
        <is>
          <t>all adults</t>
        </is>
      </c>
      <c r="K53" t="inlineStr">
        <is>
          <t>ADHS 2009 published tables (NHS Digital / NatCen), ZIP: adhs-2009-tab3</t>
        </is>
      </c>
    </row>
    <row r="54">
      <c r="A54" t="inlineStr">
        <is>
          <t>tooth loss</t>
        </is>
      </c>
      <c r="B54" t="inlineStr">
        <is>
          <t>percentage edentate</t>
        </is>
      </c>
      <c r="C54" t="inlineStr">
        <is>
          <t>percent</t>
        </is>
      </c>
      <c r="D54" t="inlineStr">
        <is>
          <t>England</t>
        </is>
      </c>
      <c r="E54" t="n">
        <v>1998</v>
      </c>
      <c r="F54" t="inlineStr">
        <is>
          <t>35-44</t>
        </is>
      </c>
      <c r="G54" t="n">
        <v>1</v>
      </c>
      <c r="H54" t="inlineStr"/>
      <c r="I54" t="inlineStr">
        <is>
          <t>ADHS 2009 Table 1.5.1</t>
        </is>
      </c>
      <c r="J54" t="inlineStr">
        <is>
          <t>all adults</t>
        </is>
      </c>
      <c r="K54" t="inlineStr">
        <is>
          <t>ADHS 2009 published tables (NHS Digital / NatCen), ZIP: adhs-2009-tab3</t>
        </is>
      </c>
    </row>
    <row r="55">
      <c r="A55" t="inlineStr">
        <is>
          <t>tooth loss</t>
        </is>
      </c>
      <c r="B55" t="inlineStr">
        <is>
          <t>percentage edentate</t>
        </is>
      </c>
      <c r="C55" t="inlineStr">
        <is>
          <t>percent</t>
        </is>
      </c>
      <c r="D55" t="inlineStr">
        <is>
          <t>England</t>
        </is>
      </c>
      <c r="E55" t="n">
        <v>2009</v>
      </c>
      <c r="F55" t="inlineStr">
        <is>
          <t>35-44</t>
        </is>
      </c>
      <c r="G55" t="n">
        <v>0</v>
      </c>
      <c r="H55" t="inlineStr"/>
      <c r="I55" t="inlineStr">
        <is>
          <t>ADHS 2009 Table 1.5.1</t>
        </is>
      </c>
      <c r="J55" t="inlineStr">
        <is>
          <t>all adults</t>
        </is>
      </c>
      <c r="K55" t="inlineStr">
        <is>
          <t>ADHS 2009 published tables (NHS Digital / NatCen), ZIP: adhs-2009-tab3</t>
        </is>
      </c>
    </row>
    <row r="56">
      <c r="A56" t="inlineStr">
        <is>
          <t>tooth loss</t>
        </is>
      </c>
      <c r="B56" t="inlineStr">
        <is>
          <t>percentage edentate</t>
        </is>
      </c>
      <c r="C56" t="inlineStr">
        <is>
          <t>percent</t>
        </is>
      </c>
      <c r="D56" t="inlineStr">
        <is>
          <t>England</t>
        </is>
      </c>
      <c r="E56" t="n">
        <v>1978</v>
      </c>
      <c r="F56" t="inlineStr">
        <is>
          <t>45-54</t>
        </is>
      </c>
      <c r="G56" t="n">
        <v>28</v>
      </c>
      <c r="H56" t="inlineStr"/>
      <c r="I56" t="inlineStr">
        <is>
          <t>ADHS 2009 Table 1.5.1</t>
        </is>
      </c>
      <c r="J56" t="inlineStr">
        <is>
          <t>all adults</t>
        </is>
      </c>
      <c r="K56" t="inlineStr">
        <is>
          <t>ADHS 2009 published tables (NHS Digital / NatCen), ZIP: adhs-2009-tab3</t>
        </is>
      </c>
    </row>
    <row r="57">
      <c r="A57" t="inlineStr">
        <is>
          <t>tooth loss</t>
        </is>
      </c>
      <c r="B57" t="inlineStr">
        <is>
          <t>percentage edentate</t>
        </is>
      </c>
      <c r="C57" t="inlineStr">
        <is>
          <t>percent</t>
        </is>
      </c>
      <c r="D57" t="inlineStr">
        <is>
          <t>England</t>
        </is>
      </c>
      <c r="E57" t="n">
        <v>1988</v>
      </c>
      <c r="F57" t="inlineStr">
        <is>
          <t>45-54</t>
        </is>
      </c>
      <c r="G57" t="n">
        <v>15</v>
      </c>
      <c r="H57" t="inlineStr"/>
      <c r="I57" t="inlineStr">
        <is>
          <t>ADHS 2009 Table 1.5.1</t>
        </is>
      </c>
      <c r="J57" t="inlineStr">
        <is>
          <t>all adults</t>
        </is>
      </c>
      <c r="K57" t="inlineStr">
        <is>
          <t>ADHS 2009 published tables (NHS Digital / NatCen), ZIP: adhs-2009-tab3</t>
        </is>
      </c>
    </row>
    <row r="58">
      <c r="A58" t="inlineStr">
        <is>
          <t>tooth loss</t>
        </is>
      </c>
      <c r="B58" t="inlineStr">
        <is>
          <t>percentage edentate</t>
        </is>
      </c>
      <c r="C58" t="inlineStr">
        <is>
          <t>percent</t>
        </is>
      </c>
      <c r="D58" t="inlineStr">
        <is>
          <t>England</t>
        </is>
      </c>
      <c r="E58" t="n">
        <v>1998</v>
      </c>
      <c r="F58" t="inlineStr">
        <is>
          <t>45-54</t>
        </is>
      </c>
      <c r="G58" t="n">
        <v>5</v>
      </c>
      <c r="H58" t="inlineStr"/>
      <c r="I58" t="inlineStr">
        <is>
          <t>ADHS 2009 Table 1.5.1</t>
        </is>
      </c>
      <c r="J58" t="inlineStr">
        <is>
          <t>all adults</t>
        </is>
      </c>
      <c r="K58" t="inlineStr">
        <is>
          <t>ADHS 2009 published tables (NHS Digital / NatCen), ZIP: adhs-2009-tab3</t>
        </is>
      </c>
    </row>
    <row r="59">
      <c r="A59" t="inlineStr">
        <is>
          <t>tooth loss</t>
        </is>
      </c>
      <c r="B59" t="inlineStr">
        <is>
          <t>percentage edentate</t>
        </is>
      </c>
      <c r="C59" t="inlineStr">
        <is>
          <t>percent</t>
        </is>
      </c>
      <c r="D59" t="inlineStr">
        <is>
          <t>England</t>
        </is>
      </c>
      <c r="E59" t="n">
        <v>2009</v>
      </c>
      <c r="F59" t="inlineStr">
        <is>
          <t>45-54</t>
        </is>
      </c>
      <c r="G59" t="n">
        <v>1</v>
      </c>
      <c r="H59" t="inlineStr"/>
      <c r="I59" t="inlineStr">
        <is>
          <t>ADHS 2009 Table 1.5.1</t>
        </is>
      </c>
      <c r="J59" t="inlineStr">
        <is>
          <t>all adults</t>
        </is>
      </c>
      <c r="K59" t="inlineStr">
        <is>
          <t>ADHS 2009 published tables (NHS Digital / NatCen), ZIP: adhs-2009-tab3</t>
        </is>
      </c>
    </row>
    <row r="60">
      <c r="A60" t="inlineStr">
        <is>
          <t>tooth loss</t>
        </is>
      </c>
      <c r="B60" t="inlineStr">
        <is>
          <t>percentage edentate</t>
        </is>
      </c>
      <c r="C60" t="inlineStr">
        <is>
          <t>percent</t>
        </is>
      </c>
      <c r="D60" t="inlineStr">
        <is>
          <t>England</t>
        </is>
      </c>
      <c r="E60" t="n">
        <v>1978</v>
      </c>
      <c r="F60" t="inlineStr">
        <is>
          <t>55-64</t>
        </is>
      </c>
      <c r="G60" t="n">
        <v>47</v>
      </c>
      <c r="H60" t="inlineStr"/>
      <c r="I60" t="inlineStr">
        <is>
          <t>ADHS 2009 Table 1.5.1</t>
        </is>
      </c>
      <c r="J60" t="inlineStr">
        <is>
          <t>all adults</t>
        </is>
      </c>
      <c r="K60" t="inlineStr">
        <is>
          <t>ADHS 2009 published tables (NHS Digital / NatCen), ZIP: adhs-2009-tab3</t>
        </is>
      </c>
    </row>
    <row r="61">
      <c r="A61" t="inlineStr">
        <is>
          <t>tooth loss</t>
        </is>
      </c>
      <c r="B61" t="inlineStr">
        <is>
          <t>percentage edentate</t>
        </is>
      </c>
      <c r="C61" t="inlineStr">
        <is>
          <t>percent</t>
        </is>
      </c>
      <c r="D61" t="inlineStr">
        <is>
          <t>England</t>
        </is>
      </c>
      <c r="E61" t="n">
        <v>1988</v>
      </c>
      <c r="F61" t="inlineStr">
        <is>
          <t>55-64</t>
        </is>
      </c>
      <c r="G61" t="n">
        <v>35</v>
      </c>
      <c r="H61" t="inlineStr"/>
      <c r="I61" t="inlineStr">
        <is>
          <t>ADHS 2009 Table 1.5.1</t>
        </is>
      </c>
      <c r="J61" t="inlineStr">
        <is>
          <t>all adults</t>
        </is>
      </c>
      <c r="K61" t="inlineStr">
        <is>
          <t>ADHS 2009 published tables (NHS Digital / NatCen), ZIP: adhs-2009-tab3</t>
        </is>
      </c>
    </row>
    <row r="62">
      <c r="A62" t="inlineStr">
        <is>
          <t>tooth loss</t>
        </is>
      </c>
      <c r="B62" t="inlineStr">
        <is>
          <t>percentage edentate</t>
        </is>
      </c>
      <c r="C62" t="inlineStr">
        <is>
          <t>percent</t>
        </is>
      </c>
      <c r="D62" t="inlineStr">
        <is>
          <t>England</t>
        </is>
      </c>
      <c r="E62" t="n">
        <v>1998</v>
      </c>
      <c r="F62" t="inlineStr">
        <is>
          <t>55-64</t>
        </is>
      </c>
      <c r="G62" t="n">
        <v>18</v>
      </c>
      <c r="H62" t="inlineStr"/>
      <c r="I62" t="inlineStr">
        <is>
          <t>ADHS 2009 Table 1.5.1</t>
        </is>
      </c>
      <c r="J62" t="inlineStr">
        <is>
          <t>all adults</t>
        </is>
      </c>
      <c r="K62" t="inlineStr">
        <is>
          <t>ADHS 2009 published tables (NHS Digital / NatCen), ZIP: adhs-2009-tab3</t>
        </is>
      </c>
    </row>
    <row r="63">
      <c r="A63" t="inlineStr">
        <is>
          <t>tooth loss</t>
        </is>
      </c>
      <c r="B63" t="inlineStr">
        <is>
          <t>percentage edentate</t>
        </is>
      </c>
      <c r="C63" t="inlineStr">
        <is>
          <t>percent</t>
        </is>
      </c>
      <c r="D63" t="inlineStr">
        <is>
          <t>England</t>
        </is>
      </c>
      <c r="E63" t="n">
        <v>2009</v>
      </c>
      <c r="F63" t="inlineStr">
        <is>
          <t>55-64</t>
        </is>
      </c>
      <c r="G63" t="n">
        <v>5</v>
      </c>
      <c r="H63" t="inlineStr"/>
      <c r="I63" t="inlineStr">
        <is>
          <t>ADHS 2009 Table 1.5.1</t>
        </is>
      </c>
      <c r="J63" t="inlineStr">
        <is>
          <t>all adults</t>
        </is>
      </c>
      <c r="K63" t="inlineStr">
        <is>
          <t>ADHS 2009 published tables (NHS Digital / NatCen), ZIP: adhs-2009-tab3</t>
        </is>
      </c>
    </row>
    <row r="64">
      <c r="A64" t="inlineStr">
        <is>
          <t>tooth loss</t>
        </is>
      </c>
      <c r="B64" t="inlineStr">
        <is>
          <t>percentage edentate</t>
        </is>
      </c>
      <c r="C64" t="inlineStr">
        <is>
          <t>percent</t>
        </is>
      </c>
      <c r="D64" t="inlineStr">
        <is>
          <t>England</t>
        </is>
      </c>
      <c r="E64" t="n">
        <v>1978</v>
      </c>
      <c r="F64" t="inlineStr">
        <is>
          <t>65-74</t>
        </is>
      </c>
      <c r="G64" t="n">
        <v>78</v>
      </c>
      <c r="H64" t="inlineStr"/>
      <c r="I64" t="inlineStr">
        <is>
          <t>ADHS 2009 Table 1.5.1</t>
        </is>
      </c>
      <c r="J64" t="inlineStr">
        <is>
          <t>all adults</t>
        </is>
      </c>
      <c r="K64" t="inlineStr">
        <is>
          <t>ADHS 2009 published tables (NHS Digital / NatCen), ZIP: adhs-2009-tab3</t>
        </is>
      </c>
    </row>
    <row r="65">
      <c r="A65" t="inlineStr">
        <is>
          <t>tooth loss</t>
        </is>
      </c>
      <c r="B65" t="inlineStr">
        <is>
          <t>percentage edentate</t>
        </is>
      </c>
      <c r="C65" t="inlineStr">
        <is>
          <t>percent</t>
        </is>
      </c>
      <c r="D65" t="inlineStr">
        <is>
          <t>England</t>
        </is>
      </c>
      <c r="E65" t="n">
        <v>1988</v>
      </c>
      <c r="F65" t="inlineStr">
        <is>
          <t>65-74</t>
        </is>
      </c>
      <c r="G65" t="n">
        <v>66</v>
      </c>
      <c r="H65" t="inlineStr"/>
      <c r="I65" t="inlineStr">
        <is>
          <t>ADHS 2009 Table 1.5.1</t>
        </is>
      </c>
      <c r="J65" t="inlineStr">
        <is>
          <t>all adults</t>
        </is>
      </c>
      <c r="K65" t="inlineStr">
        <is>
          <t>ADHS 2009 published tables (NHS Digital / NatCen), ZIP: adhs-2009-tab3</t>
        </is>
      </c>
    </row>
    <row r="66">
      <c r="A66" t="inlineStr">
        <is>
          <t>tooth loss</t>
        </is>
      </c>
      <c r="B66" t="inlineStr">
        <is>
          <t>percentage edentate</t>
        </is>
      </c>
      <c r="C66" t="inlineStr">
        <is>
          <t>percent</t>
        </is>
      </c>
      <c r="D66" t="inlineStr">
        <is>
          <t>England</t>
        </is>
      </c>
      <c r="E66" t="n">
        <v>1998</v>
      </c>
      <c r="F66" t="inlineStr">
        <is>
          <t>65-74</t>
        </is>
      </c>
      <c r="G66" t="n">
        <v>34</v>
      </c>
      <c r="H66" t="inlineStr"/>
      <c r="I66" t="inlineStr">
        <is>
          <t>ADHS 2009 Table 1.5.1</t>
        </is>
      </c>
      <c r="J66" t="inlineStr">
        <is>
          <t>all adults</t>
        </is>
      </c>
      <c r="K66" t="inlineStr">
        <is>
          <t>ADHS 2009 published tables (NHS Digital / NatCen), ZIP: adhs-2009-tab3</t>
        </is>
      </c>
    </row>
    <row r="67">
      <c r="A67" t="inlineStr">
        <is>
          <t>tooth loss</t>
        </is>
      </c>
      <c r="B67" t="inlineStr">
        <is>
          <t>percentage edentate</t>
        </is>
      </c>
      <c r="C67" t="inlineStr">
        <is>
          <t>percent</t>
        </is>
      </c>
      <c r="D67" t="inlineStr">
        <is>
          <t>England</t>
        </is>
      </c>
      <c r="E67" t="n">
        <v>2009</v>
      </c>
      <c r="F67" t="inlineStr">
        <is>
          <t>65-74</t>
        </is>
      </c>
      <c r="G67" t="n">
        <v>15</v>
      </c>
      <c r="H67" t="inlineStr"/>
      <c r="I67" t="inlineStr">
        <is>
          <t>ADHS 2009 Table 1.5.1</t>
        </is>
      </c>
      <c r="J67" t="inlineStr">
        <is>
          <t>all adults</t>
        </is>
      </c>
      <c r="K67" t="inlineStr">
        <is>
          <t>ADHS 2009 published tables (NHS Digital / NatCen), ZIP: adhs-2009-tab3</t>
        </is>
      </c>
    </row>
    <row r="68">
      <c r="A68" t="inlineStr">
        <is>
          <t>tooth loss</t>
        </is>
      </c>
      <c r="B68" t="inlineStr">
        <is>
          <t>percentage edentate</t>
        </is>
      </c>
      <c r="C68" t="inlineStr">
        <is>
          <t>percent</t>
        </is>
      </c>
      <c r="D68" t="inlineStr">
        <is>
          <t>England</t>
        </is>
      </c>
      <c r="E68" t="n">
        <v>1998</v>
      </c>
      <c r="F68" t="inlineStr">
        <is>
          <t>75 and over</t>
        </is>
      </c>
      <c r="G68" t="n">
        <v>56</v>
      </c>
      <c r="H68" t="inlineStr"/>
      <c r="I68" t="inlineStr">
        <is>
          <t>ADHS 2009 Table 1.5.1</t>
        </is>
      </c>
      <c r="J68" t="inlineStr">
        <is>
          <t>all adults</t>
        </is>
      </c>
      <c r="K68" t="inlineStr">
        <is>
          <t>ADHS 2009 published tables (NHS Digital / NatCen), ZIP: adhs-2009-tab3</t>
        </is>
      </c>
    </row>
    <row r="69">
      <c r="A69" t="inlineStr">
        <is>
          <t>tooth loss</t>
        </is>
      </c>
      <c r="B69" t="inlineStr">
        <is>
          <t>percentage edentate</t>
        </is>
      </c>
      <c r="C69" t="inlineStr">
        <is>
          <t>percent</t>
        </is>
      </c>
      <c r="D69" t="inlineStr">
        <is>
          <t>England</t>
        </is>
      </c>
      <c r="E69" t="n">
        <v>2009</v>
      </c>
      <c r="F69" t="inlineStr">
        <is>
          <t>75 and over</t>
        </is>
      </c>
      <c r="G69" t="n">
        <v>33</v>
      </c>
      <c r="H69" t="inlineStr"/>
      <c r="I69" t="inlineStr">
        <is>
          <t>ADHS 2009 Table 1.5.1</t>
        </is>
      </c>
      <c r="J69" t="inlineStr">
        <is>
          <t>all adults</t>
        </is>
      </c>
      <c r="K69" t="inlineStr">
        <is>
          <t>ADHS 2009 published tables (NHS Digital / NatCen), ZIP: adhs-2009-tab3</t>
        </is>
      </c>
    </row>
    <row r="70">
      <c r="A70" t="inlineStr">
        <is>
          <t>tooth loss</t>
        </is>
      </c>
      <c r="B70" t="inlineStr">
        <is>
          <t>percentage edentate</t>
        </is>
      </c>
      <c r="C70" t="inlineStr">
        <is>
          <t>percent</t>
        </is>
      </c>
      <c r="D70" t="inlineStr">
        <is>
          <t>England</t>
        </is>
      </c>
      <c r="E70" t="n">
        <v>1978</v>
      </c>
      <c r="F70" t="inlineStr">
        <is>
          <t>Men</t>
        </is>
      </c>
      <c r="G70" t="n">
        <v>24</v>
      </c>
      <c r="H70" t="inlineStr"/>
      <c r="I70" t="inlineStr">
        <is>
          <t>ADHS 2009 Table 1.5.1</t>
        </is>
      </c>
      <c r="J70" t="inlineStr">
        <is>
          <t>all adults</t>
        </is>
      </c>
      <c r="K70" t="inlineStr">
        <is>
          <t>ADHS 2009 published tables (NHS Digital / NatCen), ZIP: adhs-2009-tab3</t>
        </is>
      </c>
    </row>
    <row r="71">
      <c r="A71" t="inlineStr">
        <is>
          <t>tooth loss</t>
        </is>
      </c>
      <c r="B71" t="inlineStr">
        <is>
          <t>percentage edentate</t>
        </is>
      </c>
      <c r="C71" t="inlineStr">
        <is>
          <t>percent</t>
        </is>
      </c>
      <c r="D71" t="inlineStr">
        <is>
          <t>England</t>
        </is>
      </c>
      <c r="E71" t="n">
        <v>1988</v>
      </c>
      <c r="F71" t="inlineStr">
        <is>
          <t>Men</t>
        </is>
      </c>
      <c r="G71" t="n">
        <v>16</v>
      </c>
      <c r="H71" t="inlineStr"/>
      <c r="I71" t="inlineStr">
        <is>
          <t>ADHS 2009 Table 1.5.1</t>
        </is>
      </c>
      <c r="J71" t="inlineStr">
        <is>
          <t>all adults</t>
        </is>
      </c>
      <c r="K71" t="inlineStr">
        <is>
          <t>ADHS 2009 published tables (NHS Digital / NatCen), ZIP: adhs-2009-tab3</t>
        </is>
      </c>
    </row>
    <row r="72">
      <c r="A72" t="inlineStr">
        <is>
          <t>tooth loss</t>
        </is>
      </c>
      <c r="B72" t="inlineStr">
        <is>
          <t>percentage edentate</t>
        </is>
      </c>
      <c r="C72" t="inlineStr">
        <is>
          <t>percent</t>
        </is>
      </c>
      <c r="D72" t="inlineStr">
        <is>
          <t>England</t>
        </is>
      </c>
      <c r="E72" t="n">
        <v>1998</v>
      </c>
      <c r="F72" t="inlineStr">
        <is>
          <t>Men</t>
        </is>
      </c>
      <c r="G72" t="n">
        <v>11</v>
      </c>
      <c r="H72" t="inlineStr"/>
      <c r="I72" t="inlineStr">
        <is>
          <t>ADHS 2009 Table 1.5.1</t>
        </is>
      </c>
      <c r="J72" t="inlineStr">
        <is>
          <t>all adults</t>
        </is>
      </c>
      <c r="K72" t="inlineStr">
        <is>
          <t>ADHS 2009 published tables (NHS Digital / NatCen), ZIP: adhs-2009-tab3</t>
        </is>
      </c>
    </row>
    <row r="73">
      <c r="A73" t="inlineStr">
        <is>
          <t>tooth loss</t>
        </is>
      </c>
      <c r="B73" t="inlineStr">
        <is>
          <t>percentage edentate</t>
        </is>
      </c>
      <c r="C73" t="inlineStr">
        <is>
          <t>percent</t>
        </is>
      </c>
      <c r="D73" t="inlineStr">
        <is>
          <t>England</t>
        </is>
      </c>
      <c r="E73" t="n">
        <v>2009</v>
      </c>
      <c r="F73" t="inlineStr">
        <is>
          <t>Men</t>
        </is>
      </c>
      <c r="G73" t="n">
        <v>4</v>
      </c>
      <c r="H73" t="inlineStr"/>
      <c r="I73" t="inlineStr">
        <is>
          <t>ADHS 2009 Table 1.5.1</t>
        </is>
      </c>
      <c r="J73" t="inlineStr">
        <is>
          <t>all adults</t>
        </is>
      </c>
      <c r="K73" t="inlineStr">
        <is>
          <t>ADHS 2009 published tables (NHS Digital / NatCen), ZIP: adhs-2009-tab3</t>
        </is>
      </c>
    </row>
    <row r="74">
      <c r="A74" t="inlineStr">
        <is>
          <t>tooth loss</t>
        </is>
      </c>
      <c r="B74" t="inlineStr">
        <is>
          <t>percentage edentate</t>
        </is>
      </c>
      <c r="C74" t="inlineStr">
        <is>
          <t>percent</t>
        </is>
      </c>
      <c r="D74" t="inlineStr">
        <is>
          <t>England</t>
        </is>
      </c>
      <c r="E74" t="n">
        <v>1978</v>
      </c>
      <c r="F74" t="inlineStr">
        <is>
          <t>Women</t>
        </is>
      </c>
      <c r="G74" t="n">
        <v>32</v>
      </c>
      <c r="H74" t="inlineStr"/>
      <c r="I74" t="inlineStr">
        <is>
          <t>ADHS 2009 Table 1.5.1</t>
        </is>
      </c>
      <c r="J74" t="inlineStr">
        <is>
          <t>all adults</t>
        </is>
      </c>
      <c r="K74" t="inlineStr">
        <is>
          <t>ADHS 2009 published tables (NHS Digital / NatCen), ZIP: adhs-2009-tab3</t>
        </is>
      </c>
    </row>
    <row r="75">
      <c r="A75" t="inlineStr">
        <is>
          <t>tooth loss</t>
        </is>
      </c>
      <c r="B75" t="inlineStr">
        <is>
          <t>percentage edentate</t>
        </is>
      </c>
      <c r="C75" t="inlineStr">
        <is>
          <t>percent</t>
        </is>
      </c>
      <c r="D75" t="inlineStr">
        <is>
          <t>England</t>
        </is>
      </c>
      <c r="E75" t="n">
        <v>1988</v>
      </c>
      <c r="F75" t="inlineStr">
        <is>
          <t>Women</t>
        </is>
      </c>
      <c r="G75" t="n">
        <v>25</v>
      </c>
      <c r="H75" t="inlineStr"/>
      <c r="I75" t="inlineStr">
        <is>
          <t>ADHS 2009 Table 1.5.1</t>
        </is>
      </c>
      <c r="J75" t="inlineStr">
        <is>
          <t>all adults</t>
        </is>
      </c>
      <c r="K75" t="inlineStr">
        <is>
          <t>ADHS 2009 published tables (NHS Digital / NatCen), ZIP: adhs-2009-tab3</t>
        </is>
      </c>
    </row>
    <row r="76">
      <c r="A76" t="inlineStr">
        <is>
          <t>tooth loss</t>
        </is>
      </c>
      <c r="B76" t="inlineStr">
        <is>
          <t>percentage edentate</t>
        </is>
      </c>
      <c r="C76" t="inlineStr">
        <is>
          <t>percent</t>
        </is>
      </c>
      <c r="D76" t="inlineStr">
        <is>
          <t>England</t>
        </is>
      </c>
      <c r="E76" t="n">
        <v>1998</v>
      </c>
      <c r="F76" t="inlineStr">
        <is>
          <t>Women</t>
        </is>
      </c>
      <c r="G76" t="n">
        <v>13</v>
      </c>
      <c r="H76" t="inlineStr"/>
      <c r="I76" t="inlineStr">
        <is>
          <t>ADHS 2009 Table 1.5.1</t>
        </is>
      </c>
      <c r="J76" t="inlineStr">
        <is>
          <t>all adults</t>
        </is>
      </c>
      <c r="K76" t="inlineStr">
        <is>
          <t>ADHS 2009 published tables (NHS Digital / NatCen), ZIP: adhs-2009-tab3</t>
        </is>
      </c>
    </row>
    <row r="77">
      <c r="A77" t="inlineStr">
        <is>
          <t>tooth loss</t>
        </is>
      </c>
      <c r="B77" t="inlineStr">
        <is>
          <t>percentage edentate</t>
        </is>
      </c>
      <c r="C77" t="inlineStr">
        <is>
          <t>percent</t>
        </is>
      </c>
      <c r="D77" t="inlineStr">
        <is>
          <t>England</t>
        </is>
      </c>
      <c r="E77" t="n">
        <v>2009</v>
      </c>
      <c r="F77" t="inlineStr">
        <is>
          <t>Women</t>
        </is>
      </c>
      <c r="G77" t="n">
        <v>7</v>
      </c>
      <c r="H77" t="inlineStr"/>
      <c r="I77" t="inlineStr">
        <is>
          <t>ADHS 2009 Table 1.5.1</t>
        </is>
      </c>
      <c r="J77" t="inlineStr">
        <is>
          <t>all adults</t>
        </is>
      </c>
      <c r="K77" t="inlineStr">
        <is>
          <t>ADHS 2009 published tables (NHS Digital / NatCen), ZIP: adhs-2009-tab3</t>
        </is>
      </c>
    </row>
    <row r="78">
      <c r="A78" t="inlineStr">
        <is>
          <t>untouched enamel</t>
        </is>
      </c>
      <c r="B78" t="inlineStr">
        <is>
          <t>mean sound untreated teeth</t>
        </is>
      </c>
      <c r="C78" t="inlineStr">
        <is>
          <t>teeth per person</t>
        </is>
      </c>
      <c r="D78" t="inlineStr">
        <is>
          <t>England</t>
        </is>
      </c>
      <c r="E78" t="n">
        <v>1978</v>
      </c>
      <c r="F78" t="inlineStr">
        <is>
          <t>All</t>
        </is>
      </c>
      <c r="G78" t="n">
        <v>13.2</v>
      </c>
      <c r="H78" t="inlineStr">
        <is>
          <t>1988 criteria</t>
        </is>
      </c>
      <c r="I78" t="inlineStr">
        <is>
          <t>ADHS 2009 Table 1.5.4</t>
        </is>
      </c>
      <c r="J78" t="inlineStr">
        <is>
          <t>dentate adults</t>
        </is>
      </c>
      <c r="K78" t="inlineStr">
        <is>
          <t>ADHS 2009 published tables (NHS Digital / NatCen), ZIP: adhs-2009-tab3</t>
        </is>
      </c>
    </row>
    <row r="79">
      <c r="A79" t="inlineStr">
        <is>
          <t>untouched enamel</t>
        </is>
      </c>
      <c r="B79" t="inlineStr">
        <is>
          <t>mean sound untreated teeth</t>
        </is>
      </c>
      <c r="C79" t="inlineStr">
        <is>
          <t>teeth per person</t>
        </is>
      </c>
      <c r="D79" t="inlineStr">
        <is>
          <t>England</t>
        </is>
      </c>
      <c r="E79" t="n">
        <v>1988</v>
      </c>
      <c r="F79" t="inlineStr">
        <is>
          <t>All</t>
        </is>
      </c>
      <c r="G79" t="n">
        <v>15</v>
      </c>
      <c r="H79" t="inlineStr">
        <is>
          <t>1988 criteria</t>
        </is>
      </c>
      <c r="I79" t="inlineStr">
        <is>
          <t>ADHS 2009 Table 1.5.4</t>
        </is>
      </c>
      <c r="J79" t="inlineStr">
        <is>
          <t>dentate adults</t>
        </is>
      </c>
      <c r="K79" t="inlineStr">
        <is>
          <t>ADHS 2009 published tables (NHS Digital / NatCen), ZIP: adhs-2009-tab3</t>
        </is>
      </c>
    </row>
    <row r="80">
      <c r="A80" t="inlineStr">
        <is>
          <t>untouched enamel</t>
        </is>
      </c>
      <c r="B80" t="inlineStr">
        <is>
          <t>mean sound untreated teeth</t>
        </is>
      </c>
      <c r="C80" t="inlineStr">
        <is>
          <t>teeth per person</t>
        </is>
      </c>
      <c r="D80" t="inlineStr">
        <is>
          <t>England</t>
        </is>
      </c>
      <c r="E80" t="n">
        <v>1998</v>
      </c>
      <c r="F80" t="inlineStr">
        <is>
          <t>All</t>
        </is>
      </c>
      <c r="G80" t="n">
        <v>15.9</v>
      </c>
      <c r="H80" t="inlineStr">
        <is>
          <t>1988 criteria</t>
        </is>
      </c>
      <c r="I80" t="inlineStr">
        <is>
          <t>ADHS 2009 Table 1.5.4</t>
        </is>
      </c>
      <c r="J80" t="inlineStr">
        <is>
          <t>dentate adults</t>
        </is>
      </c>
      <c r="K80" t="inlineStr">
        <is>
          <t>ADHS 2009 published tables (NHS Digital / NatCen), ZIP: adhs-2009-tab3</t>
        </is>
      </c>
    </row>
    <row r="81">
      <c r="A81" t="inlineStr">
        <is>
          <t>untouched enamel</t>
        </is>
      </c>
      <c r="B81" t="inlineStr">
        <is>
          <t>mean sound untreated teeth</t>
        </is>
      </c>
      <c r="C81" t="inlineStr">
        <is>
          <t>teeth per person</t>
        </is>
      </c>
      <c r="D81" t="inlineStr">
        <is>
          <t>England</t>
        </is>
      </c>
      <c r="E81" t="n">
        <v>1998</v>
      </c>
      <c r="F81" t="inlineStr">
        <is>
          <t>All</t>
        </is>
      </c>
      <c r="G81" t="n">
        <v>15.6</v>
      </c>
      <c r="H81" t="inlineStr">
        <is>
          <t>1998 criteria</t>
        </is>
      </c>
      <c r="I81" t="inlineStr">
        <is>
          <t>ADHS 2009 Table 1.5.4</t>
        </is>
      </c>
      <c r="J81" t="inlineStr">
        <is>
          <t>dentate adults</t>
        </is>
      </c>
      <c r="K81" t="inlineStr">
        <is>
          <t>ADHS 2009 published tables (NHS Digital / NatCen), ZIP: adhs-2009-tab3</t>
        </is>
      </c>
    </row>
    <row r="82">
      <c r="A82" t="inlineStr">
        <is>
          <t>untouched enamel</t>
        </is>
      </c>
      <c r="B82" t="inlineStr">
        <is>
          <t>mean sound untreated teeth</t>
        </is>
      </c>
      <c r="C82" t="inlineStr">
        <is>
          <t>teeth per person</t>
        </is>
      </c>
      <c r="D82" t="inlineStr">
        <is>
          <t>England</t>
        </is>
      </c>
      <c r="E82" t="n">
        <v>2009</v>
      </c>
      <c r="F82" t="inlineStr">
        <is>
          <t>All</t>
        </is>
      </c>
      <c r="G82" t="n">
        <v>18</v>
      </c>
      <c r="H82" t="inlineStr">
        <is>
          <t>1998 criteria</t>
        </is>
      </c>
      <c r="I82" t="inlineStr">
        <is>
          <t>ADHS 2009 Table 1.5.4</t>
        </is>
      </c>
      <c r="J82" t="inlineStr">
        <is>
          <t>dentate adults</t>
        </is>
      </c>
      <c r="K82" t="inlineStr">
        <is>
          <t>ADHS 2009 published tables (NHS Digital / NatCen), ZIP: adhs-2009-tab3</t>
        </is>
      </c>
    </row>
    <row r="83">
      <c r="A83" t="inlineStr">
        <is>
          <t>untouched enamel</t>
        </is>
      </c>
      <c r="B83" t="inlineStr">
        <is>
          <t>mean sound untreated teeth</t>
        </is>
      </c>
      <c r="C83" t="inlineStr">
        <is>
          <t>teeth per person</t>
        </is>
      </c>
      <c r="D83" t="inlineStr">
        <is>
          <t>England</t>
        </is>
      </c>
      <c r="E83" t="n">
        <v>1978</v>
      </c>
      <c r="F83" t="inlineStr">
        <is>
          <t>16-24</t>
        </is>
      </c>
      <c r="G83" t="n">
        <v>17.5</v>
      </c>
      <c r="H83" t="inlineStr">
        <is>
          <t>1988 criteria</t>
        </is>
      </c>
      <c r="I83" t="inlineStr">
        <is>
          <t>ADHS 2009 Table 1.5.4</t>
        </is>
      </c>
      <c r="J83" t="inlineStr">
        <is>
          <t>dentate adults</t>
        </is>
      </c>
      <c r="K83" t="inlineStr">
        <is>
          <t>ADHS 2009 published tables (NHS Digital / NatCen), ZIP: adhs-2009-tab3</t>
        </is>
      </c>
    </row>
    <row r="84">
      <c r="A84" t="inlineStr">
        <is>
          <t>untouched enamel</t>
        </is>
      </c>
      <c r="B84" t="inlineStr">
        <is>
          <t>mean sound untreated teeth</t>
        </is>
      </c>
      <c r="C84" t="inlineStr">
        <is>
          <t>teeth per person</t>
        </is>
      </c>
      <c r="D84" t="inlineStr">
        <is>
          <t>England</t>
        </is>
      </c>
      <c r="E84" t="n">
        <v>1988</v>
      </c>
      <c r="F84" t="inlineStr">
        <is>
          <t>16-24</t>
        </is>
      </c>
      <c r="G84" t="n">
        <v>21.7</v>
      </c>
      <c r="H84" t="inlineStr">
        <is>
          <t>1988 criteria</t>
        </is>
      </c>
      <c r="I84" t="inlineStr">
        <is>
          <t>ADHS 2009 Table 1.5.4</t>
        </is>
      </c>
      <c r="J84" t="inlineStr">
        <is>
          <t>dentate adults</t>
        </is>
      </c>
      <c r="K84" t="inlineStr">
        <is>
          <t>ADHS 2009 published tables (NHS Digital / NatCen), ZIP: adhs-2009-tab3</t>
        </is>
      </c>
    </row>
    <row r="85">
      <c r="A85" t="inlineStr">
        <is>
          <t>untouched enamel</t>
        </is>
      </c>
      <c r="B85" t="inlineStr">
        <is>
          <t>mean sound untreated teeth</t>
        </is>
      </c>
      <c r="C85" t="inlineStr">
        <is>
          <t>teeth per person</t>
        </is>
      </c>
      <c r="D85" t="inlineStr">
        <is>
          <t>England</t>
        </is>
      </c>
      <c r="E85" t="n">
        <v>1998</v>
      </c>
      <c r="F85" t="inlineStr">
        <is>
          <t>16-24</t>
        </is>
      </c>
      <c r="G85" t="n">
        <v>24.3</v>
      </c>
      <c r="H85" t="inlineStr">
        <is>
          <t>1988 criteria</t>
        </is>
      </c>
      <c r="I85" t="inlineStr">
        <is>
          <t>ADHS 2009 Table 1.5.4</t>
        </is>
      </c>
      <c r="J85" t="inlineStr">
        <is>
          <t>dentate adults</t>
        </is>
      </c>
      <c r="K85" t="inlineStr">
        <is>
          <t>ADHS 2009 published tables (NHS Digital / NatCen), ZIP: adhs-2009-tab3</t>
        </is>
      </c>
    </row>
    <row r="86">
      <c r="A86" t="inlineStr">
        <is>
          <t>untouched enamel</t>
        </is>
      </c>
      <c r="B86" t="inlineStr">
        <is>
          <t>mean sound untreated teeth</t>
        </is>
      </c>
      <c r="C86" t="inlineStr">
        <is>
          <t>teeth per person</t>
        </is>
      </c>
      <c r="D86" t="inlineStr">
        <is>
          <t>England</t>
        </is>
      </c>
      <c r="E86" t="n">
        <v>1998</v>
      </c>
      <c r="F86" t="inlineStr">
        <is>
          <t>16-24</t>
        </is>
      </c>
      <c r="G86" t="n">
        <v>23.7</v>
      </c>
      <c r="H86" t="inlineStr">
        <is>
          <t>1998 criteria</t>
        </is>
      </c>
      <c r="I86" t="inlineStr">
        <is>
          <t>ADHS 2009 Table 1.5.4</t>
        </is>
      </c>
      <c r="J86" t="inlineStr">
        <is>
          <t>dentate adults</t>
        </is>
      </c>
      <c r="K86" t="inlineStr">
        <is>
          <t>ADHS 2009 published tables (NHS Digital / NatCen), ZIP: adhs-2009-tab3</t>
        </is>
      </c>
    </row>
    <row r="87">
      <c r="A87" t="inlineStr">
        <is>
          <t>untouched enamel</t>
        </is>
      </c>
      <c r="B87" t="inlineStr">
        <is>
          <t>mean sound untreated teeth</t>
        </is>
      </c>
      <c r="C87" t="inlineStr">
        <is>
          <t>teeth per person</t>
        </is>
      </c>
      <c r="D87" t="inlineStr">
        <is>
          <t>England</t>
        </is>
      </c>
      <c r="E87" t="n">
        <v>2009</v>
      </c>
      <c r="F87" t="inlineStr">
        <is>
          <t>16-24</t>
        </is>
      </c>
      <c r="G87" t="n">
        <v>26.1</v>
      </c>
      <c r="H87" t="inlineStr">
        <is>
          <t>1998 criteria</t>
        </is>
      </c>
      <c r="I87" t="inlineStr">
        <is>
          <t>ADHS 2009 Table 1.5.4</t>
        </is>
      </c>
      <c r="J87" t="inlineStr">
        <is>
          <t>dentate adults</t>
        </is>
      </c>
      <c r="K87" t="inlineStr">
        <is>
          <t>ADHS 2009 published tables (NHS Digital / NatCen), ZIP: adhs-2009-tab3</t>
        </is>
      </c>
    </row>
    <row r="88">
      <c r="A88" t="inlineStr">
        <is>
          <t>untouched enamel</t>
        </is>
      </c>
      <c r="B88" t="inlineStr">
        <is>
          <t>mean sound untreated teeth</t>
        </is>
      </c>
      <c r="C88" t="inlineStr">
        <is>
          <t>teeth per person</t>
        </is>
      </c>
      <c r="D88" t="inlineStr">
        <is>
          <t>England</t>
        </is>
      </c>
      <c r="E88" t="n">
        <v>1978</v>
      </c>
      <c r="F88" t="inlineStr">
        <is>
          <t>25-34</t>
        </is>
      </c>
      <c r="G88" t="n">
        <v>14.1</v>
      </c>
      <c r="H88" t="inlineStr">
        <is>
          <t>1988 criteria</t>
        </is>
      </c>
      <c r="I88" t="inlineStr">
        <is>
          <t>ADHS 2009 Table 1.5.4</t>
        </is>
      </c>
      <c r="J88" t="inlineStr">
        <is>
          <t>dentate adults</t>
        </is>
      </c>
      <c r="K88" t="inlineStr">
        <is>
          <t>ADHS 2009 published tables (NHS Digital / NatCen), ZIP: adhs-2009-tab3</t>
        </is>
      </c>
    </row>
    <row r="89">
      <c r="A89" t="inlineStr">
        <is>
          <t>untouched enamel</t>
        </is>
      </c>
      <c r="B89" t="inlineStr">
        <is>
          <t>mean sound untreated teeth</t>
        </is>
      </c>
      <c r="C89" t="inlineStr">
        <is>
          <t>teeth per person</t>
        </is>
      </c>
      <c r="D89" t="inlineStr">
        <is>
          <t>England</t>
        </is>
      </c>
      <c r="E89" t="n">
        <v>1988</v>
      </c>
      <c r="F89" t="inlineStr">
        <is>
          <t>25-34</t>
        </is>
      </c>
      <c r="G89" t="n">
        <v>16.4</v>
      </c>
      <c r="H89" t="inlineStr">
        <is>
          <t>1988 criteria</t>
        </is>
      </c>
      <c r="I89" t="inlineStr">
        <is>
          <t>ADHS 2009 Table 1.5.4</t>
        </is>
      </c>
      <c r="J89" t="inlineStr">
        <is>
          <t>dentate adults</t>
        </is>
      </c>
      <c r="K89" t="inlineStr">
        <is>
          <t>ADHS 2009 published tables (NHS Digital / NatCen), ZIP: adhs-2009-tab3</t>
        </is>
      </c>
    </row>
    <row r="90">
      <c r="A90" t="inlineStr">
        <is>
          <t>untouched enamel</t>
        </is>
      </c>
      <c r="B90" t="inlineStr">
        <is>
          <t>mean sound untreated teeth</t>
        </is>
      </c>
      <c r="C90" t="inlineStr">
        <is>
          <t>teeth per person</t>
        </is>
      </c>
      <c r="D90" t="inlineStr">
        <is>
          <t>England</t>
        </is>
      </c>
      <c r="E90" t="n">
        <v>1998</v>
      </c>
      <c r="F90" t="inlineStr">
        <is>
          <t>25-34</t>
        </is>
      </c>
      <c r="G90" t="n">
        <v>20.1</v>
      </c>
      <c r="H90" t="inlineStr">
        <is>
          <t>1988 criteria</t>
        </is>
      </c>
      <c r="I90" t="inlineStr">
        <is>
          <t>ADHS 2009 Table 1.5.4</t>
        </is>
      </c>
      <c r="J90" t="inlineStr">
        <is>
          <t>dentate adults</t>
        </is>
      </c>
      <c r="K90" t="inlineStr">
        <is>
          <t>ADHS 2009 published tables (NHS Digital / NatCen), ZIP: adhs-2009-tab3</t>
        </is>
      </c>
    </row>
    <row r="91">
      <c r="A91" t="inlineStr">
        <is>
          <t>untouched enamel</t>
        </is>
      </c>
      <c r="B91" t="inlineStr">
        <is>
          <t>mean sound untreated teeth</t>
        </is>
      </c>
      <c r="C91" t="inlineStr">
        <is>
          <t>teeth per person</t>
        </is>
      </c>
      <c r="D91" t="inlineStr">
        <is>
          <t>England</t>
        </is>
      </c>
      <c r="E91" t="n">
        <v>1998</v>
      </c>
      <c r="F91" t="inlineStr">
        <is>
          <t>25-34</t>
        </is>
      </c>
      <c r="G91" t="n">
        <v>19.5</v>
      </c>
      <c r="H91" t="inlineStr">
        <is>
          <t>1998 criteria</t>
        </is>
      </c>
      <c r="I91" t="inlineStr">
        <is>
          <t>ADHS 2009 Table 1.5.4</t>
        </is>
      </c>
      <c r="J91" t="inlineStr">
        <is>
          <t>dentate adults</t>
        </is>
      </c>
      <c r="K91" t="inlineStr">
        <is>
          <t>ADHS 2009 published tables (NHS Digital / NatCen), ZIP: adhs-2009-tab3</t>
        </is>
      </c>
    </row>
    <row r="92">
      <c r="A92" t="inlineStr">
        <is>
          <t>untouched enamel</t>
        </is>
      </c>
      <c r="B92" t="inlineStr">
        <is>
          <t>mean sound untreated teeth</t>
        </is>
      </c>
      <c r="C92" t="inlineStr">
        <is>
          <t>teeth per person</t>
        </is>
      </c>
      <c r="D92" t="inlineStr">
        <is>
          <t>England</t>
        </is>
      </c>
      <c r="E92" t="n">
        <v>2009</v>
      </c>
      <c r="F92" t="inlineStr">
        <is>
          <t>25-34</t>
        </is>
      </c>
      <c r="G92" t="n">
        <v>24</v>
      </c>
      <c r="H92" t="inlineStr">
        <is>
          <t>1998 criteria</t>
        </is>
      </c>
      <c r="I92" t="inlineStr">
        <is>
          <t>ADHS 2009 Table 1.5.4</t>
        </is>
      </c>
      <c r="J92" t="inlineStr">
        <is>
          <t>dentate adults</t>
        </is>
      </c>
      <c r="K92" t="inlineStr">
        <is>
          <t>ADHS 2009 published tables (NHS Digital / NatCen), ZIP: adhs-2009-tab3</t>
        </is>
      </c>
    </row>
    <row r="93">
      <c r="A93" t="inlineStr">
        <is>
          <t>untouched enamel</t>
        </is>
      </c>
      <c r="B93" t="inlineStr">
        <is>
          <t>mean sound untreated teeth</t>
        </is>
      </c>
      <c r="C93" t="inlineStr">
        <is>
          <t>teeth per person</t>
        </is>
      </c>
      <c r="D93" t="inlineStr">
        <is>
          <t>England</t>
        </is>
      </c>
      <c r="E93" t="n">
        <v>1978</v>
      </c>
      <c r="F93" t="inlineStr">
        <is>
          <t>35-44</t>
        </is>
      </c>
      <c r="G93" t="n">
        <v>12.4</v>
      </c>
      <c r="H93" t="inlineStr">
        <is>
          <t>1988 criteria</t>
        </is>
      </c>
      <c r="I93" t="inlineStr">
        <is>
          <t>ADHS 2009 Table 1.5.4</t>
        </is>
      </c>
      <c r="J93" t="inlineStr">
        <is>
          <t>dentate adults</t>
        </is>
      </c>
      <c r="K93" t="inlineStr">
        <is>
          <t>ADHS 2009 published tables (NHS Digital / NatCen), ZIP: adhs-2009-tab3</t>
        </is>
      </c>
    </row>
    <row r="94">
      <c r="A94" t="inlineStr">
        <is>
          <t>untouched enamel</t>
        </is>
      </c>
      <c r="B94" t="inlineStr">
        <is>
          <t>mean sound untreated teeth</t>
        </is>
      </c>
      <c r="C94" t="inlineStr">
        <is>
          <t>teeth per person</t>
        </is>
      </c>
      <c r="D94" t="inlineStr">
        <is>
          <t>England</t>
        </is>
      </c>
      <c r="E94" t="n">
        <v>1988</v>
      </c>
      <c r="F94" t="inlineStr">
        <is>
          <t>35-44</t>
        </is>
      </c>
      <c r="G94" t="n">
        <v>13.3</v>
      </c>
      <c r="H94" t="inlineStr">
        <is>
          <t>1988 criteria</t>
        </is>
      </c>
      <c r="I94" t="inlineStr">
        <is>
          <t>ADHS 2009 Table 1.5.4</t>
        </is>
      </c>
      <c r="J94" t="inlineStr">
        <is>
          <t>dentate adults</t>
        </is>
      </c>
      <c r="K94" t="inlineStr">
        <is>
          <t>ADHS 2009 published tables (NHS Digital / NatCen), ZIP: adhs-2009-tab3</t>
        </is>
      </c>
    </row>
    <row r="95">
      <c r="A95" t="inlineStr">
        <is>
          <t>untouched enamel</t>
        </is>
      </c>
      <c r="B95" t="inlineStr">
        <is>
          <t>mean sound untreated teeth</t>
        </is>
      </c>
      <c r="C95" t="inlineStr">
        <is>
          <t>teeth per person</t>
        </is>
      </c>
      <c r="D95" t="inlineStr">
        <is>
          <t>England</t>
        </is>
      </c>
      <c r="E95" t="n">
        <v>1998</v>
      </c>
      <c r="F95" t="inlineStr">
        <is>
          <t>35-44</t>
        </is>
      </c>
      <c r="G95" t="n">
        <v>16.1</v>
      </c>
      <c r="H95" t="inlineStr">
        <is>
          <t>1988 criteria</t>
        </is>
      </c>
      <c r="I95" t="inlineStr">
        <is>
          <t>ADHS 2009 Table 1.5.4</t>
        </is>
      </c>
      <c r="J95" t="inlineStr">
        <is>
          <t>dentate adults</t>
        </is>
      </c>
      <c r="K95" t="inlineStr">
        <is>
          <t>ADHS 2009 published tables (NHS Digital / NatCen), ZIP: adhs-2009-tab3</t>
        </is>
      </c>
    </row>
    <row r="96">
      <c r="A96" t="inlineStr">
        <is>
          <t>untouched enamel</t>
        </is>
      </c>
      <c r="B96" t="inlineStr">
        <is>
          <t>mean sound untreated teeth</t>
        </is>
      </c>
      <c r="C96" t="inlineStr">
        <is>
          <t>teeth per person</t>
        </is>
      </c>
      <c r="D96" t="inlineStr">
        <is>
          <t>England</t>
        </is>
      </c>
      <c r="E96" t="n">
        <v>1998</v>
      </c>
      <c r="F96" t="inlineStr">
        <is>
          <t>35-44</t>
        </is>
      </c>
      <c r="G96" t="n">
        <v>15.9</v>
      </c>
      <c r="H96" t="inlineStr">
        <is>
          <t>1998 criteria</t>
        </is>
      </c>
      <c r="I96" t="inlineStr">
        <is>
          <t>ADHS 2009 Table 1.5.4</t>
        </is>
      </c>
      <c r="J96" t="inlineStr">
        <is>
          <t>dentate adults</t>
        </is>
      </c>
      <c r="K96" t="inlineStr">
        <is>
          <t>ADHS 2009 published tables (NHS Digital / NatCen), ZIP: adhs-2009-tab3</t>
        </is>
      </c>
    </row>
    <row r="97">
      <c r="A97" t="inlineStr">
        <is>
          <t>untouched enamel</t>
        </is>
      </c>
      <c r="B97" t="inlineStr">
        <is>
          <t>mean sound untreated teeth</t>
        </is>
      </c>
      <c r="C97" t="inlineStr">
        <is>
          <t>teeth per person</t>
        </is>
      </c>
      <c r="D97" t="inlineStr">
        <is>
          <t>England</t>
        </is>
      </c>
      <c r="E97" t="n">
        <v>2009</v>
      </c>
      <c r="F97" t="inlineStr">
        <is>
          <t>35-44</t>
        </is>
      </c>
      <c r="G97" t="n">
        <v>20.4</v>
      </c>
      <c r="H97" t="inlineStr">
        <is>
          <t>1998 criteria</t>
        </is>
      </c>
      <c r="I97" t="inlineStr">
        <is>
          <t>ADHS 2009 Table 1.5.4</t>
        </is>
      </c>
      <c r="J97" t="inlineStr">
        <is>
          <t>dentate adults</t>
        </is>
      </c>
      <c r="K97" t="inlineStr">
        <is>
          <t>ADHS 2009 published tables (NHS Digital / NatCen), ZIP: adhs-2009-tab3</t>
        </is>
      </c>
    </row>
    <row r="98">
      <c r="A98" t="inlineStr">
        <is>
          <t>untouched enamel</t>
        </is>
      </c>
      <c r="B98" t="inlineStr">
        <is>
          <t>mean sound untreated teeth</t>
        </is>
      </c>
      <c r="C98" t="inlineStr">
        <is>
          <t>teeth per person</t>
        </is>
      </c>
      <c r="D98" t="inlineStr">
        <is>
          <t>England</t>
        </is>
      </c>
      <c r="E98" t="n">
        <v>1978</v>
      </c>
      <c r="F98" t="inlineStr">
        <is>
          <t>45-54</t>
        </is>
      </c>
      <c r="G98" t="n">
        <v>10.6</v>
      </c>
      <c r="H98" t="inlineStr">
        <is>
          <t>1988 criteria</t>
        </is>
      </c>
      <c r="I98" t="inlineStr">
        <is>
          <t>ADHS 2009 Table 1.5.4</t>
        </is>
      </c>
      <c r="J98" t="inlineStr">
        <is>
          <t>dentate adults</t>
        </is>
      </c>
      <c r="K98" t="inlineStr">
        <is>
          <t>ADHS 2009 published tables (NHS Digital / NatCen), ZIP: adhs-2009-tab3</t>
        </is>
      </c>
    </row>
    <row r="99">
      <c r="A99" t="inlineStr">
        <is>
          <t>untouched enamel</t>
        </is>
      </c>
      <c r="B99" t="inlineStr">
        <is>
          <t>mean sound untreated teeth</t>
        </is>
      </c>
      <c r="C99" t="inlineStr">
        <is>
          <t>teeth per person</t>
        </is>
      </c>
      <c r="D99" t="inlineStr">
        <is>
          <t>England</t>
        </is>
      </c>
      <c r="E99" t="n">
        <v>1988</v>
      </c>
      <c r="F99" t="inlineStr">
        <is>
          <t>45-54</t>
        </is>
      </c>
      <c r="G99" t="n">
        <v>11.7</v>
      </c>
      <c r="H99" t="inlineStr">
        <is>
          <t>1988 criteria</t>
        </is>
      </c>
      <c r="I99" t="inlineStr">
        <is>
          <t>ADHS 2009 Table 1.5.4</t>
        </is>
      </c>
      <c r="J99" t="inlineStr">
        <is>
          <t>dentate adults</t>
        </is>
      </c>
      <c r="K99" t="inlineStr">
        <is>
          <t>ADHS 2009 published tables (NHS Digital / NatCen), ZIP: adhs-2009-tab3</t>
        </is>
      </c>
    </row>
    <row r="100">
      <c r="A100" t="inlineStr">
        <is>
          <t>untouched enamel</t>
        </is>
      </c>
      <c r="B100" t="inlineStr">
        <is>
          <t>mean sound untreated teeth</t>
        </is>
      </c>
      <c r="C100" t="inlineStr">
        <is>
          <t>teeth per person</t>
        </is>
      </c>
      <c r="D100" t="inlineStr">
        <is>
          <t>England</t>
        </is>
      </c>
      <c r="E100" t="n">
        <v>1998</v>
      </c>
      <c r="F100" t="inlineStr">
        <is>
          <t>45-54</t>
        </is>
      </c>
      <c r="G100" t="n">
        <v>12.1</v>
      </c>
      <c r="H100" t="inlineStr">
        <is>
          <t>1988 criteria</t>
        </is>
      </c>
      <c r="I100" t="inlineStr">
        <is>
          <t>ADHS 2009 Table 1.5.4</t>
        </is>
      </c>
      <c r="J100" t="inlineStr">
        <is>
          <t>dentate adults</t>
        </is>
      </c>
      <c r="K100" t="inlineStr">
        <is>
          <t>ADHS 2009 published tables (NHS Digital / NatCen), ZIP: adhs-2009-tab3</t>
        </is>
      </c>
    </row>
    <row r="101">
      <c r="A101" t="inlineStr">
        <is>
          <t>untouched enamel</t>
        </is>
      </c>
      <c r="B101" t="inlineStr">
        <is>
          <t>mean sound untreated teeth</t>
        </is>
      </c>
      <c r="C101" t="inlineStr">
        <is>
          <t>teeth per person</t>
        </is>
      </c>
      <c r="D101" t="inlineStr">
        <is>
          <t>England</t>
        </is>
      </c>
      <c r="E101" t="n">
        <v>1998</v>
      </c>
      <c r="F101" t="inlineStr">
        <is>
          <t>45-54</t>
        </is>
      </c>
      <c r="G101" t="n">
        <v>11.9</v>
      </c>
      <c r="H101" t="inlineStr">
        <is>
          <t>1998 criteria</t>
        </is>
      </c>
      <c r="I101" t="inlineStr">
        <is>
          <t>ADHS 2009 Table 1.5.4</t>
        </is>
      </c>
      <c r="J101" t="inlineStr">
        <is>
          <t>dentate adults</t>
        </is>
      </c>
      <c r="K101" t="inlineStr">
        <is>
          <t>ADHS 2009 published tables (NHS Digital / NatCen), ZIP: adhs-2009-tab3</t>
        </is>
      </c>
    </row>
    <row r="102">
      <c r="A102" t="inlineStr">
        <is>
          <t>untouched enamel</t>
        </is>
      </c>
      <c r="B102" t="inlineStr">
        <is>
          <t>mean sound untreated teeth</t>
        </is>
      </c>
      <c r="C102" t="inlineStr">
        <is>
          <t>teeth per person</t>
        </is>
      </c>
      <c r="D102" t="inlineStr">
        <is>
          <t>England</t>
        </is>
      </c>
      <c r="E102" t="n">
        <v>2009</v>
      </c>
      <c r="F102" t="inlineStr">
        <is>
          <t>45-54</t>
        </is>
      </c>
      <c r="G102" t="n">
        <v>15.2</v>
      </c>
      <c r="H102" t="inlineStr">
        <is>
          <t>1998 criteria</t>
        </is>
      </c>
      <c r="I102" t="inlineStr">
        <is>
          <t>ADHS 2009 Table 1.5.4</t>
        </is>
      </c>
      <c r="J102" t="inlineStr">
        <is>
          <t>dentate adults</t>
        </is>
      </c>
      <c r="K102" t="inlineStr">
        <is>
          <t>ADHS 2009 published tables (NHS Digital / NatCen), ZIP: adhs-2009-tab3</t>
        </is>
      </c>
    </row>
    <row r="103">
      <c r="A103" t="inlineStr">
        <is>
          <t>untouched enamel</t>
        </is>
      </c>
      <c r="B103" t="inlineStr">
        <is>
          <t>mean sound untreated teeth</t>
        </is>
      </c>
      <c r="C103" t="inlineStr">
        <is>
          <t>teeth per person</t>
        </is>
      </c>
      <c r="D103" t="inlineStr">
        <is>
          <t>England</t>
        </is>
      </c>
      <c r="E103" t="n">
        <v>1978</v>
      </c>
      <c r="F103" t="inlineStr">
        <is>
          <t>55-64</t>
        </is>
      </c>
      <c r="G103" t="n">
        <v>9.199999999999999</v>
      </c>
      <c r="H103" t="inlineStr">
        <is>
          <t>1988 criteria</t>
        </is>
      </c>
      <c r="I103" t="inlineStr">
        <is>
          <t>ADHS 2009 Table 1.5.4</t>
        </is>
      </c>
      <c r="J103" t="inlineStr">
        <is>
          <t>dentate adults</t>
        </is>
      </c>
      <c r="K103" t="inlineStr">
        <is>
          <t>ADHS 2009 published tables (NHS Digital / NatCen), ZIP: adhs-2009-tab3</t>
        </is>
      </c>
    </row>
    <row r="104">
      <c r="A104" t="inlineStr">
        <is>
          <t>untouched enamel</t>
        </is>
      </c>
      <c r="B104" t="inlineStr">
        <is>
          <t>mean sound untreated teeth</t>
        </is>
      </c>
      <c r="C104" t="inlineStr">
        <is>
          <t>teeth per person</t>
        </is>
      </c>
      <c r="D104" t="inlineStr">
        <is>
          <t>England</t>
        </is>
      </c>
      <c r="E104" t="n">
        <v>1988</v>
      </c>
      <c r="F104" t="inlineStr">
        <is>
          <t>55-64</t>
        </is>
      </c>
      <c r="G104" t="n">
        <v>9.5</v>
      </c>
      <c r="H104" t="inlineStr">
        <is>
          <t>1988 criteria</t>
        </is>
      </c>
      <c r="I104" t="inlineStr">
        <is>
          <t>ADHS 2009 Table 1.5.4</t>
        </is>
      </c>
      <c r="J104" t="inlineStr">
        <is>
          <t>dentate adults</t>
        </is>
      </c>
      <c r="K104" t="inlineStr">
        <is>
          <t>ADHS 2009 published tables (NHS Digital / NatCen), ZIP: adhs-2009-tab3</t>
        </is>
      </c>
    </row>
    <row r="105">
      <c r="A105" t="inlineStr">
        <is>
          <t>untouched enamel</t>
        </is>
      </c>
      <c r="B105" t="inlineStr">
        <is>
          <t>mean sound untreated teeth</t>
        </is>
      </c>
      <c r="C105" t="inlineStr">
        <is>
          <t>teeth per person</t>
        </is>
      </c>
      <c r="D105" t="inlineStr">
        <is>
          <t>England</t>
        </is>
      </c>
      <c r="E105" t="n">
        <v>1998</v>
      </c>
      <c r="F105" t="inlineStr">
        <is>
          <t>55-64</t>
        </is>
      </c>
      <c r="G105" t="n">
        <v>9.300000000000001</v>
      </c>
      <c r="H105" t="inlineStr">
        <is>
          <t>1988 criteria</t>
        </is>
      </c>
      <c r="I105" t="inlineStr">
        <is>
          <t>ADHS 2009 Table 1.5.4</t>
        </is>
      </c>
      <c r="J105" t="inlineStr">
        <is>
          <t>dentate adults</t>
        </is>
      </c>
      <c r="K105" t="inlineStr">
        <is>
          <t>ADHS 2009 published tables (NHS Digital / NatCen), ZIP: adhs-2009-tab3</t>
        </is>
      </c>
    </row>
    <row r="106">
      <c r="A106" t="inlineStr">
        <is>
          <t>untouched enamel</t>
        </is>
      </c>
      <c r="B106" t="inlineStr">
        <is>
          <t>mean sound untreated teeth</t>
        </is>
      </c>
      <c r="C106" t="inlineStr">
        <is>
          <t>teeth per person</t>
        </is>
      </c>
      <c r="D106" t="inlineStr">
        <is>
          <t>England</t>
        </is>
      </c>
      <c r="E106" t="n">
        <v>1998</v>
      </c>
      <c r="F106" t="inlineStr">
        <is>
          <t>55-64</t>
        </is>
      </c>
      <c r="G106" t="n">
        <v>9.699999999999999</v>
      </c>
      <c r="H106" t="inlineStr">
        <is>
          <t>1998 criteria</t>
        </is>
      </c>
      <c r="I106" t="inlineStr">
        <is>
          <t>ADHS 2009 Table 1.5.4</t>
        </is>
      </c>
      <c r="J106" t="inlineStr">
        <is>
          <t>dentate adults</t>
        </is>
      </c>
      <c r="K106" t="inlineStr">
        <is>
          <t>ADHS 2009 published tables (NHS Digital / NatCen), ZIP: adhs-2009-tab3</t>
        </is>
      </c>
    </row>
    <row r="107">
      <c r="A107" t="inlineStr">
        <is>
          <t>untouched enamel</t>
        </is>
      </c>
      <c r="B107" t="inlineStr">
        <is>
          <t>mean sound untreated teeth</t>
        </is>
      </c>
      <c r="C107" t="inlineStr">
        <is>
          <t>teeth per person</t>
        </is>
      </c>
      <c r="D107" t="inlineStr">
        <is>
          <t>England</t>
        </is>
      </c>
      <c r="E107" t="n">
        <v>2009</v>
      </c>
      <c r="F107" t="inlineStr">
        <is>
          <t>55-64</t>
        </is>
      </c>
      <c r="G107" t="n">
        <v>12</v>
      </c>
      <c r="H107" t="inlineStr">
        <is>
          <t>1998 criteria</t>
        </is>
      </c>
      <c r="I107" t="inlineStr">
        <is>
          <t>ADHS 2009 Table 1.5.4</t>
        </is>
      </c>
      <c r="J107" t="inlineStr">
        <is>
          <t>dentate adults</t>
        </is>
      </c>
      <c r="K107" t="inlineStr">
        <is>
          <t>ADHS 2009 published tables (NHS Digital / NatCen), ZIP: adhs-2009-tab3</t>
        </is>
      </c>
    </row>
    <row r="108">
      <c r="A108" t="inlineStr">
        <is>
          <t>untouched enamel</t>
        </is>
      </c>
      <c r="B108" t="inlineStr">
        <is>
          <t>mean sound untreated teeth</t>
        </is>
      </c>
      <c r="C108" t="inlineStr">
        <is>
          <t>teeth per person</t>
        </is>
      </c>
      <c r="D108" t="inlineStr">
        <is>
          <t>England</t>
        </is>
      </c>
      <c r="E108" t="n">
        <v>1998</v>
      </c>
      <c r="F108" t="inlineStr">
        <is>
          <t>65 and over</t>
        </is>
      </c>
      <c r="G108" t="n">
        <v>8.6</v>
      </c>
      <c r="H108" t="inlineStr">
        <is>
          <t>1998 criteria</t>
        </is>
      </c>
      <c r="I108" t="inlineStr">
        <is>
          <t>ADHS 2009 Table 1.5.4</t>
        </is>
      </c>
      <c r="J108" t="inlineStr">
        <is>
          <t>dentate adults</t>
        </is>
      </c>
      <c r="K108" t="inlineStr">
        <is>
          <t>ADHS 2009 published tables (NHS Digital / NatCen), ZIP: adhs-2009-tab3</t>
        </is>
      </c>
    </row>
    <row r="109">
      <c r="A109" t="inlineStr">
        <is>
          <t>untouched enamel</t>
        </is>
      </c>
      <c r="B109" t="inlineStr">
        <is>
          <t>mean sound untreated teeth</t>
        </is>
      </c>
      <c r="C109" t="inlineStr">
        <is>
          <t>teeth per person</t>
        </is>
      </c>
      <c r="D109" t="inlineStr">
        <is>
          <t>England</t>
        </is>
      </c>
      <c r="E109" t="n">
        <v>2009</v>
      </c>
      <c r="F109" t="inlineStr">
        <is>
          <t>65 and over</t>
        </is>
      </c>
      <c r="G109" t="n">
        <v>9.6</v>
      </c>
      <c r="H109" t="inlineStr">
        <is>
          <t>1998 criteria</t>
        </is>
      </c>
      <c r="I109" t="inlineStr">
        <is>
          <t>ADHS 2009 Table 1.5.4</t>
        </is>
      </c>
      <c r="J109" t="inlineStr">
        <is>
          <t>dentate adults</t>
        </is>
      </c>
      <c r="K109" t="inlineStr">
        <is>
          <t>ADHS 2009 published tables (NHS Digital / NatCen), ZIP: adhs-2009-tab3</t>
        </is>
      </c>
    </row>
    <row r="110">
      <c r="A110" t="inlineStr">
        <is>
          <t>hygiene</t>
        </is>
      </c>
      <c r="B110" t="inlineStr">
        <is>
          <t>use of Just ordinary toothbrush &amp; toothpaste</t>
        </is>
      </c>
      <c r="C110" t="inlineStr">
        <is>
          <t>percent</t>
        </is>
      </c>
      <c r="D110" t="inlineStr">
        <is>
          <t>England</t>
        </is>
      </c>
      <c r="E110" t="n">
        <v>1978</v>
      </c>
      <c r="F110" t="inlineStr">
        <is>
          <t>All</t>
        </is>
      </c>
      <c r="G110" t="n">
        <v>78</v>
      </c>
      <c r="H110" t="inlineStr"/>
      <c r="I110" t="inlineStr">
        <is>
          <t>ADHS 2009 Table 5.1.6</t>
        </is>
      </c>
      <c r="J110" t="inlineStr">
        <is>
          <t>dentate adults who clean their teeth; multiple answers allowed</t>
        </is>
      </c>
      <c r="K110" t="inlineStr">
        <is>
          <t>ADHS 2009 published tables (NHS Digital / NatCen), ZIP: adhs-2009-tab3</t>
        </is>
      </c>
    </row>
    <row r="111">
      <c r="A111" t="inlineStr">
        <is>
          <t>hygiene</t>
        </is>
      </c>
      <c r="B111" t="inlineStr">
        <is>
          <t>use of Just ordinary toothbrush &amp; toothpaste</t>
        </is>
      </c>
      <c r="C111" t="inlineStr">
        <is>
          <t>percent</t>
        </is>
      </c>
      <c r="D111" t="inlineStr">
        <is>
          <t>England</t>
        </is>
      </c>
      <c r="E111" t="n">
        <v>1988</v>
      </c>
      <c r="F111" t="inlineStr">
        <is>
          <t>All</t>
        </is>
      </c>
      <c r="G111" t="n">
        <v>63</v>
      </c>
      <c r="H111" t="inlineStr"/>
      <c r="I111" t="inlineStr">
        <is>
          <t>ADHS 2009 Table 5.1.6</t>
        </is>
      </c>
      <c r="J111" t="inlineStr">
        <is>
          <t>dentate adults who clean their teeth; multiple answers allowed</t>
        </is>
      </c>
      <c r="K111" t="inlineStr">
        <is>
          <t>ADHS 2009 published tables (NHS Digital / NatCen), ZIP: adhs-2009-tab3</t>
        </is>
      </c>
    </row>
    <row r="112">
      <c r="A112" t="inlineStr">
        <is>
          <t>hygiene</t>
        </is>
      </c>
      <c r="B112" t="inlineStr">
        <is>
          <t>use of Just ordinary toothbrush &amp; toothpaste</t>
        </is>
      </c>
      <c r="C112" t="inlineStr">
        <is>
          <t>percent</t>
        </is>
      </c>
      <c r="D112" t="inlineStr">
        <is>
          <t>England</t>
        </is>
      </c>
      <c r="E112" t="n">
        <v>1998</v>
      </c>
      <c r="F112" t="inlineStr">
        <is>
          <t>All</t>
        </is>
      </c>
      <c r="G112" t="n">
        <v>48</v>
      </c>
      <c r="H112" t="inlineStr"/>
      <c r="I112" t="inlineStr">
        <is>
          <t>ADHS 2009 Table 5.1.6</t>
        </is>
      </c>
      <c r="J112" t="inlineStr">
        <is>
          <t>dentate adults who clean their teeth; multiple answers allowed</t>
        </is>
      </c>
      <c r="K112" t="inlineStr">
        <is>
          <t>ADHS 2009 published tables (NHS Digital / NatCen), ZIP: adhs-2009-tab3</t>
        </is>
      </c>
    </row>
    <row r="113">
      <c r="A113" t="inlineStr">
        <is>
          <t>hygiene</t>
        </is>
      </c>
      <c r="B113" t="inlineStr">
        <is>
          <t>use of Just ordinary toothbrush &amp; toothpaste</t>
        </is>
      </c>
      <c r="C113" t="inlineStr">
        <is>
          <t>percent</t>
        </is>
      </c>
      <c r="D113" t="inlineStr">
        <is>
          <t>England</t>
        </is>
      </c>
      <c r="E113" t="n">
        <v>2009</v>
      </c>
      <c r="F113" t="inlineStr">
        <is>
          <t>All</t>
        </is>
      </c>
      <c r="G113" t="n">
        <v>41</v>
      </c>
      <c r="H113" t="inlineStr"/>
      <c r="I113" t="inlineStr">
        <is>
          <t>ADHS 2009 Table 5.1.6</t>
        </is>
      </c>
      <c r="J113" t="inlineStr">
        <is>
          <t>dentate adults who clean their teeth; multiple answers allowed</t>
        </is>
      </c>
      <c r="K113" t="inlineStr">
        <is>
          <t>ADHS 2009 published tables (NHS Digital / NatCen), ZIP: adhs-2009-tab3</t>
        </is>
      </c>
    </row>
    <row r="114">
      <c r="A114" t="inlineStr">
        <is>
          <t>hygiene</t>
        </is>
      </c>
      <c r="B114" t="inlineStr">
        <is>
          <t>use of Other products</t>
        </is>
      </c>
      <c r="C114" t="inlineStr">
        <is>
          <t>percent</t>
        </is>
      </c>
      <c r="D114" t="inlineStr">
        <is>
          <t>England</t>
        </is>
      </c>
      <c r="E114" t="n">
        <v>1978</v>
      </c>
      <c r="F114" t="inlineStr">
        <is>
          <t>All</t>
        </is>
      </c>
      <c r="G114" t="n">
        <v>22</v>
      </c>
      <c r="H114" t="inlineStr"/>
      <c r="I114" t="inlineStr">
        <is>
          <t>ADHS 2009 Table 5.1.6</t>
        </is>
      </c>
      <c r="J114" t="inlineStr">
        <is>
          <t>dentate adults who clean their teeth; multiple answers allowed</t>
        </is>
      </c>
      <c r="K114" t="inlineStr">
        <is>
          <t>ADHS 2009 published tables (NHS Digital / NatCen), ZIP: adhs-2009-tab3</t>
        </is>
      </c>
    </row>
    <row r="115">
      <c r="A115" t="inlineStr">
        <is>
          <t>hygiene</t>
        </is>
      </c>
      <c r="B115" t="inlineStr">
        <is>
          <t>use of Other products</t>
        </is>
      </c>
      <c r="C115" t="inlineStr">
        <is>
          <t>percent</t>
        </is>
      </c>
      <c r="D115" t="inlineStr">
        <is>
          <t>England</t>
        </is>
      </c>
      <c r="E115" t="n">
        <v>1988</v>
      </c>
      <c r="F115" t="inlineStr">
        <is>
          <t>All</t>
        </is>
      </c>
      <c r="G115" t="n">
        <v>37</v>
      </c>
      <c r="H115" t="inlineStr"/>
      <c r="I115" t="inlineStr">
        <is>
          <t>ADHS 2009 Table 5.1.6</t>
        </is>
      </c>
      <c r="J115" t="inlineStr">
        <is>
          <t>dentate adults who clean their teeth; multiple answers allowed</t>
        </is>
      </c>
      <c r="K115" t="inlineStr">
        <is>
          <t>ADHS 2009 published tables (NHS Digital / NatCen), ZIP: adhs-2009-tab3</t>
        </is>
      </c>
    </row>
    <row r="116">
      <c r="A116" t="inlineStr">
        <is>
          <t>hygiene</t>
        </is>
      </c>
      <c r="B116" t="inlineStr">
        <is>
          <t>use of Other products</t>
        </is>
      </c>
      <c r="C116" t="inlineStr">
        <is>
          <t>percent</t>
        </is>
      </c>
      <c r="D116" t="inlineStr">
        <is>
          <t>England</t>
        </is>
      </c>
      <c r="E116" t="n">
        <v>1998</v>
      </c>
      <c r="F116" t="inlineStr">
        <is>
          <t>All</t>
        </is>
      </c>
      <c r="G116" t="n">
        <v>52</v>
      </c>
      <c r="H116" t="inlineStr"/>
      <c r="I116" t="inlineStr">
        <is>
          <t>ADHS 2009 Table 5.1.6</t>
        </is>
      </c>
      <c r="J116" t="inlineStr">
        <is>
          <t>dentate adults who clean their teeth; multiple answers allowed</t>
        </is>
      </c>
      <c r="K116" t="inlineStr">
        <is>
          <t>ADHS 2009 published tables (NHS Digital / NatCen), ZIP: adhs-2009-tab3</t>
        </is>
      </c>
    </row>
    <row r="117">
      <c r="A117" t="inlineStr">
        <is>
          <t>hygiene</t>
        </is>
      </c>
      <c r="B117" t="inlineStr">
        <is>
          <t>use of Other products</t>
        </is>
      </c>
      <c r="C117" t="inlineStr">
        <is>
          <t>percent</t>
        </is>
      </c>
      <c r="D117" t="inlineStr">
        <is>
          <t>England</t>
        </is>
      </c>
      <c r="E117" t="n">
        <v>2009</v>
      </c>
      <c r="F117" t="inlineStr">
        <is>
          <t>All</t>
        </is>
      </c>
      <c r="G117" t="n">
        <v>59</v>
      </c>
      <c r="H117" t="inlineStr"/>
      <c r="I117" t="inlineStr">
        <is>
          <t>ADHS 2009 Table 5.1.6</t>
        </is>
      </c>
      <c r="J117" t="inlineStr">
        <is>
          <t>dentate adults who clean their teeth; multiple answers allowed</t>
        </is>
      </c>
      <c r="K117" t="inlineStr">
        <is>
          <t>ADHS 2009 published tables (NHS Digital / NatCen), ZIP: adhs-2009-tab3</t>
        </is>
      </c>
    </row>
    <row r="118">
      <c r="A118" t="inlineStr">
        <is>
          <t>hygiene</t>
        </is>
      </c>
      <c r="B118" t="inlineStr">
        <is>
          <t>use of Mouthwash</t>
        </is>
      </c>
      <c r="C118" t="inlineStr">
        <is>
          <t>percent</t>
        </is>
      </c>
      <c r="D118" t="inlineStr">
        <is>
          <t>England</t>
        </is>
      </c>
      <c r="E118" t="n">
        <v>1988</v>
      </c>
      <c r="F118" t="inlineStr">
        <is>
          <t>All</t>
        </is>
      </c>
      <c r="G118" t="n">
        <v>10</v>
      </c>
      <c r="H118" t="inlineStr"/>
      <c r="I118" t="inlineStr">
        <is>
          <t>ADHS 2009 Table 5.1.6</t>
        </is>
      </c>
      <c r="J118" t="inlineStr">
        <is>
          <t>dentate adults who clean their teeth; multiple answers allowed</t>
        </is>
      </c>
      <c r="K118" t="inlineStr">
        <is>
          <t>ADHS 2009 published tables (NHS Digital / NatCen), ZIP: adhs-2009-tab3</t>
        </is>
      </c>
    </row>
    <row r="119">
      <c r="A119" t="inlineStr">
        <is>
          <t>hygiene</t>
        </is>
      </c>
      <c r="B119" t="inlineStr">
        <is>
          <t>use of Mouthwash</t>
        </is>
      </c>
      <c r="C119" t="inlineStr">
        <is>
          <t>percent</t>
        </is>
      </c>
      <c r="D119" t="inlineStr">
        <is>
          <t>England</t>
        </is>
      </c>
      <c r="E119" t="n">
        <v>1998</v>
      </c>
      <c r="F119" t="inlineStr">
        <is>
          <t>All</t>
        </is>
      </c>
      <c r="G119" t="n">
        <v>23</v>
      </c>
      <c r="H119" t="inlineStr"/>
      <c r="I119" t="inlineStr">
        <is>
          <t>ADHS 2009 Table 5.1.6</t>
        </is>
      </c>
      <c r="J119" t="inlineStr">
        <is>
          <t>dentate adults who clean their teeth; multiple answers allowed</t>
        </is>
      </c>
      <c r="K119" t="inlineStr">
        <is>
          <t>ADHS 2009 published tables (NHS Digital / NatCen), ZIP: adhs-2009-tab3</t>
        </is>
      </c>
    </row>
    <row r="120">
      <c r="A120" t="inlineStr">
        <is>
          <t>hygiene</t>
        </is>
      </c>
      <c r="B120" t="inlineStr">
        <is>
          <t>use of Mouthwash</t>
        </is>
      </c>
      <c r="C120" t="inlineStr">
        <is>
          <t>percent</t>
        </is>
      </c>
      <c r="D120" t="inlineStr">
        <is>
          <t>England</t>
        </is>
      </c>
      <c r="E120" t="n">
        <v>2009</v>
      </c>
      <c r="F120" t="inlineStr">
        <is>
          <t>All</t>
        </is>
      </c>
      <c r="G120" t="n">
        <v>31</v>
      </c>
      <c r="H120" t="inlineStr"/>
      <c r="I120" t="inlineStr">
        <is>
          <t>ADHS 2009 Table 5.1.6</t>
        </is>
      </c>
      <c r="J120" t="inlineStr">
        <is>
          <t>dentate adults who clean their teeth; multiple answers allowed</t>
        </is>
      </c>
      <c r="K120" t="inlineStr">
        <is>
          <t>ADHS 2009 published tables (NHS Digital / NatCen), ZIP: adhs-2009-tab3</t>
        </is>
      </c>
    </row>
    <row r="121">
      <c r="A121" t="inlineStr">
        <is>
          <t>hygiene</t>
        </is>
      </c>
      <c r="B121" t="inlineStr">
        <is>
          <t>use of Dental floss</t>
        </is>
      </c>
      <c r="C121" t="inlineStr">
        <is>
          <t>percent</t>
        </is>
      </c>
      <c r="D121" t="inlineStr">
        <is>
          <t>England</t>
        </is>
      </c>
      <c r="E121" t="n">
        <v>1978</v>
      </c>
      <c r="F121" t="inlineStr">
        <is>
          <t>All</t>
        </is>
      </c>
      <c r="G121" t="n">
        <v>8</v>
      </c>
      <c r="H121" t="inlineStr"/>
      <c r="I121" t="inlineStr">
        <is>
          <t>ADHS 2009 Table 5.1.6</t>
        </is>
      </c>
      <c r="J121" t="inlineStr">
        <is>
          <t>dentate adults who clean their teeth; multiple answers allowed</t>
        </is>
      </c>
      <c r="K121" t="inlineStr">
        <is>
          <t>ADHS 2009 published tables (NHS Digital / NatCen), ZIP: adhs-2009-tab3</t>
        </is>
      </c>
    </row>
    <row r="122">
      <c r="A122" t="inlineStr">
        <is>
          <t>hygiene</t>
        </is>
      </c>
      <c r="B122" t="inlineStr">
        <is>
          <t>use of Dental floss</t>
        </is>
      </c>
      <c r="C122" t="inlineStr">
        <is>
          <t>percent</t>
        </is>
      </c>
      <c r="D122" t="inlineStr">
        <is>
          <t>England</t>
        </is>
      </c>
      <c r="E122" t="n">
        <v>1988</v>
      </c>
      <c r="F122" t="inlineStr">
        <is>
          <t>All</t>
        </is>
      </c>
      <c r="G122" t="n">
        <v>21</v>
      </c>
      <c r="H122" t="inlineStr"/>
      <c r="I122" t="inlineStr">
        <is>
          <t>ADHS 2009 Table 5.1.6</t>
        </is>
      </c>
      <c r="J122" t="inlineStr">
        <is>
          <t>dentate adults who clean their teeth; multiple answers allowed</t>
        </is>
      </c>
      <c r="K122" t="inlineStr">
        <is>
          <t>ADHS 2009 published tables (NHS Digital / NatCen), ZIP: adhs-2009-tab3</t>
        </is>
      </c>
    </row>
    <row r="123">
      <c r="A123" t="inlineStr">
        <is>
          <t>hygiene</t>
        </is>
      </c>
      <c r="B123" t="inlineStr">
        <is>
          <t>use of Dental floss</t>
        </is>
      </c>
      <c r="C123" t="inlineStr">
        <is>
          <t>percent</t>
        </is>
      </c>
      <c r="D123" t="inlineStr">
        <is>
          <t>England</t>
        </is>
      </c>
      <c r="E123" t="n">
        <v>1998</v>
      </c>
      <c r="F123" t="inlineStr">
        <is>
          <t>All</t>
        </is>
      </c>
      <c r="G123" t="n">
        <v>28</v>
      </c>
      <c r="H123" t="inlineStr"/>
      <c r="I123" t="inlineStr">
        <is>
          <t>ADHS 2009 Table 5.1.6</t>
        </is>
      </c>
      <c r="J123" t="inlineStr">
        <is>
          <t>dentate adults who clean their teeth; multiple answers allowed</t>
        </is>
      </c>
      <c r="K123" t="inlineStr">
        <is>
          <t>ADHS 2009 published tables (NHS Digital / NatCen), ZIP: adhs-2009-tab3</t>
        </is>
      </c>
    </row>
    <row r="124">
      <c r="A124" t="inlineStr">
        <is>
          <t>hygiene</t>
        </is>
      </c>
      <c r="B124" t="inlineStr">
        <is>
          <t>use of Dental floss</t>
        </is>
      </c>
      <c r="C124" t="inlineStr">
        <is>
          <t>percent</t>
        </is>
      </c>
      <c r="D124" t="inlineStr">
        <is>
          <t>England</t>
        </is>
      </c>
      <c r="E124" t="n">
        <v>2009</v>
      </c>
      <c r="F124" t="inlineStr">
        <is>
          <t>All</t>
        </is>
      </c>
      <c r="G124" t="n">
        <v>22</v>
      </c>
      <c r="H124" t="inlineStr"/>
      <c r="I124" t="inlineStr">
        <is>
          <t>ADHS 2009 Table 5.1.6</t>
        </is>
      </c>
      <c r="J124" t="inlineStr">
        <is>
          <t>dentate adults who clean their teeth; multiple answers allowed</t>
        </is>
      </c>
      <c r="K124" t="inlineStr">
        <is>
          <t>ADHS 2009 published tables (NHS Digital / NatCen), ZIP: adhs-2009-tab3</t>
        </is>
      </c>
    </row>
    <row r="125">
      <c r="A125" t="inlineStr">
        <is>
          <t>hygiene</t>
        </is>
      </c>
      <c r="B125" t="inlineStr">
        <is>
          <t>use of Interdental toothpick / woodstick</t>
        </is>
      </c>
      <c r="C125" t="inlineStr">
        <is>
          <t>percent</t>
        </is>
      </c>
      <c r="D125" t="inlineStr">
        <is>
          <t>England</t>
        </is>
      </c>
      <c r="E125" t="n">
        <v>1978</v>
      </c>
      <c r="F125" t="inlineStr">
        <is>
          <t>All</t>
        </is>
      </c>
      <c r="G125" t="n">
        <v>10</v>
      </c>
      <c r="H125" t="inlineStr"/>
      <c r="I125" t="inlineStr">
        <is>
          <t>ADHS 2009 Table 5.1.6</t>
        </is>
      </c>
      <c r="J125" t="inlineStr">
        <is>
          <t>dentate adults who clean their teeth; multiple answers allowed</t>
        </is>
      </c>
      <c r="K125" t="inlineStr">
        <is>
          <t>ADHS 2009 published tables (NHS Digital / NatCen), ZIP: adhs-2009-tab3</t>
        </is>
      </c>
    </row>
    <row r="126">
      <c r="A126" t="inlineStr">
        <is>
          <t>hygiene</t>
        </is>
      </c>
      <c r="B126" t="inlineStr">
        <is>
          <t>use of Interdental toothpick / woodstick</t>
        </is>
      </c>
      <c r="C126" t="inlineStr">
        <is>
          <t>percent</t>
        </is>
      </c>
      <c r="D126" t="inlineStr">
        <is>
          <t>England</t>
        </is>
      </c>
      <c r="E126" t="n">
        <v>1988</v>
      </c>
      <c r="F126" t="inlineStr">
        <is>
          <t>All</t>
        </is>
      </c>
      <c r="G126" t="n">
        <v>5</v>
      </c>
      <c r="H126" t="inlineStr"/>
      <c r="I126" t="inlineStr">
        <is>
          <t>ADHS 2009 Table 5.1.6</t>
        </is>
      </c>
      <c r="J126" t="inlineStr">
        <is>
          <t>dentate adults who clean their teeth; multiple answers allowed</t>
        </is>
      </c>
      <c r="K126" t="inlineStr">
        <is>
          <t>ADHS 2009 published tables (NHS Digital / NatCen), ZIP: adhs-2009-tab3</t>
        </is>
      </c>
    </row>
    <row r="127">
      <c r="A127" t="inlineStr">
        <is>
          <t>hygiene</t>
        </is>
      </c>
      <c r="B127" t="inlineStr">
        <is>
          <t>use of Interdental toothpick / woodstick</t>
        </is>
      </c>
      <c r="C127" t="inlineStr">
        <is>
          <t>percent</t>
        </is>
      </c>
      <c r="D127" t="inlineStr">
        <is>
          <t>England</t>
        </is>
      </c>
      <c r="E127" t="n">
        <v>1998</v>
      </c>
      <c r="F127" t="inlineStr">
        <is>
          <t>All</t>
        </is>
      </c>
      <c r="G127" t="n">
        <v>5</v>
      </c>
      <c r="H127" t="inlineStr"/>
      <c r="I127" t="inlineStr">
        <is>
          <t>ADHS 2009 Table 5.1.6</t>
        </is>
      </c>
      <c r="J127" t="inlineStr">
        <is>
          <t>dentate adults who clean their teeth; multiple answers allowed</t>
        </is>
      </c>
      <c r="K127" t="inlineStr">
        <is>
          <t>ADHS 2009 published tables (NHS Digital / NatCen), ZIP: adhs-2009-tab3</t>
        </is>
      </c>
    </row>
    <row r="128">
      <c r="A128" t="inlineStr">
        <is>
          <t>hygiene</t>
        </is>
      </c>
      <c r="B128" t="inlineStr">
        <is>
          <t>use of Interdental toothpick / woodstick</t>
        </is>
      </c>
      <c r="C128" t="inlineStr">
        <is>
          <t>percent</t>
        </is>
      </c>
      <c r="D128" t="inlineStr">
        <is>
          <t>England</t>
        </is>
      </c>
      <c r="E128" t="n">
        <v>2009</v>
      </c>
      <c r="F128" t="inlineStr">
        <is>
          <t>All</t>
        </is>
      </c>
      <c r="G128" t="n">
        <v>7</v>
      </c>
      <c r="H128" t="inlineStr"/>
      <c r="I128" t="inlineStr">
        <is>
          <t>ADHS 2009 Table 5.1.6</t>
        </is>
      </c>
      <c r="J128" t="inlineStr">
        <is>
          <t>dentate adults who clean their teeth; multiple answers allowed</t>
        </is>
      </c>
      <c r="K128" t="inlineStr">
        <is>
          <t>ADHS 2009 published tables (NHS Digital / NatCen), ZIP: adhs-2009-tab3</t>
        </is>
      </c>
    </row>
    <row r="129">
      <c r="A129" t="inlineStr">
        <is>
          <t>hygiene</t>
        </is>
      </c>
      <c r="B129" t="inlineStr">
        <is>
          <t>tooth cleaning: Twice a day or more often</t>
        </is>
      </c>
      <c r="C129" t="inlineStr">
        <is>
          <t>percent</t>
        </is>
      </c>
      <c r="D129" t="inlineStr">
        <is>
          <t>England</t>
        </is>
      </c>
      <c r="E129" t="n">
        <v>1988</v>
      </c>
      <c r="F129" t="inlineStr">
        <is>
          <t>All</t>
        </is>
      </c>
      <c r="G129" t="n">
        <v>67</v>
      </c>
      <c r="H129" t="inlineStr"/>
      <c r="I129" t="inlineStr">
        <is>
          <t>ADHS 2009 Table 5.1.2</t>
        </is>
      </c>
      <c r="J129" t="inlineStr">
        <is>
          <t>dentate adults; 1978 omitted - survey categories differed</t>
        </is>
      </c>
      <c r="K129" t="inlineStr">
        <is>
          <t>ADHS 2009 published tables (NHS Digital / NatCen), ZIP: adhs-2009-tab3</t>
        </is>
      </c>
    </row>
    <row r="130">
      <c r="A130" t="inlineStr">
        <is>
          <t>hygiene</t>
        </is>
      </c>
      <c r="B130" t="inlineStr">
        <is>
          <t>tooth cleaning: Twice a day or more often</t>
        </is>
      </c>
      <c r="C130" t="inlineStr">
        <is>
          <t>percent</t>
        </is>
      </c>
      <c r="D130" t="inlineStr">
        <is>
          <t>England</t>
        </is>
      </c>
      <c r="E130" t="n">
        <v>1998</v>
      </c>
      <c r="F130" t="inlineStr">
        <is>
          <t>All</t>
        </is>
      </c>
      <c r="G130" t="n">
        <v>74</v>
      </c>
      <c r="H130" t="inlineStr"/>
      <c r="I130" t="inlineStr">
        <is>
          <t>ADHS 2009 Table 5.1.2</t>
        </is>
      </c>
      <c r="J130" t="inlineStr">
        <is>
          <t>dentate adults; 1978 omitted - survey categories differed</t>
        </is>
      </c>
      <c r="K130" t="inlineStr">
        <is>
          <t>ADHS 2009 published tables (NHS Digital / NatCen), ZIP: adhs-2009-tab3</t>
        </is>
      </c>
    </row>
    <row r="131">
      <c r="A131" t="inlineStr">
        <is>
          <t>hygiene</t>
        </is>
      </c>
      <c r="B131" t="inlineStr">
        <is>
          <t>tooth cleaning: Twice a day or more often</t>
        </is>
      </c>
      <c r="C131" t="inlineStr">
        <is>
          <t>percent</t>
        </is>
      </c>
      <c r="D131" t="inlineStr">
        <is>
          <t>England</t>
        </is>
      </c>
      <c r="E131" t="n">
        <v>2009</v>
      </c>
      <c r="F131" t="inlineStr">
        <is>
          <t>All</t>
        </is>
      </c>
      <c r="G131" t="n">
        <v>75</v>
      </c>
      <c r="H131" t="inlineStr"/>
      <c r="I131" t="inlineStr">
        <is>
          <t>ADHS 2009 Table 5.1.2</t>
        </is>
      </c>
      <c r="J131" t="inlineStr">
        <is>
          <t>dentate adults; 1978 omitted - survey categories differed</t>
        </is>
      </c>
      <c r="K131" t="inlineStr">
        <is>
          <t>ADHS 2009 published tables (NHS Digital / NatCen), ZIP: adhs-2009-tab3</t>
        </is>
      </c>
    </row>
    <row r="132">
      <c r="A132" t="inlineStr">
        <is>
          <t>hygiene</t>
        </is>
      </c>
      <c r="B132" t="inlineStr">
        <is>
          <t>tooth cleaning: Once a day</t>
        </is>
      </c>
      <c r="C132" t="inlineStr">
        <is>
          <t>percent</t>
        </is>
      </c>
      <c r="D132" t="inlineStr">
        <is>
          <t>England</t>
        </is>
      </c>
      <c r="E132" t="n">
        <v>1988</v>
      </c>
      <c r="F132" t="inlineStr">
        <is>
          <t>All</t>
        </is>
      </c>
      <c r="G132" t="n">
        <v>27</v>
      </c>
      <c r="H132" t="inlineStr"/>
      <c r="I132" t="inlineStr">
        <is>
          <t>ADHS 2009 Table 5.1.2</t>
        </is>
      </c>
      <c r="J132" t="inlineStr">
        <is>
          <t>dentate adults; 1978 omitted - survey categories differed</t>
        </is>
      </c>
      <c r="K132" t="inlineStr">
        <is>
          <t>ADHS 2009 published tables (NHS Digital / NatCen), ZIP: adhs-2009-tab3</t>
        </is>
      </c>
    </row>
    <row r="133">
      <c r="A133" t="inlineStr">
        <is>
          <t>hygiene</t>
        </is>
      </c>
      <c r="B133" t="inlineStr">
        <is>
          <t>tooth cleaning: Once a day</t>
        </is>
      </c>
      <c r="C133" t="inlineStr">
        <is>
          <t>percent</t>
        </is>
      </c>
      <c r="D133" t="inlineStr">
        <is>
          <t>England</t>
        </is>
      </c>
      <c r="E133" t="n">
        <v>1998</v>
      </c>
      <c r="F133" t="inlineStr">
        <is>
          <t>All</t>
        </is>
      </c>
      <c r="G133" t="n">
        <v>22</v>
      </c>
      <c r="H133" t="inlineStr"/>
      <c r="I133" t="inlineStr">
        <is>
          <t>ADHS 2009 Table 5.1.2</t>
        </is>
      </c>
      <c r="J133" t="inlineStr">
        <is>
          <t>dentate adults; 1978 omitted - survey categories differed</t>
        </is>
      </c>
      <c r="K133" t="inlineStr">
        <is>
          <t>ADHS 2009 published tables (NHS Digital / NatCen), ZIP: adhs-2009-tab3</t>
        </is>
      </c>
    </row>
    <row r="134">
      <c r="A134" t="inlineStr">
        <is>
          <t>hygiene</t>
        </is>
      </c>
      <c r="B134" t="inlineStr">
        <is>
          <t>tooth cleaning: Once a day</t>
        </is>
      </c>
      <c r="C134" t="inlineStr">
        <is>
          <t>percent</t>
        </is>
      </c>
      <c r="D134" t="inlineStr">
        <is>
          <t>England</t>
        </is>
      </c>
      <c r="E134" t="n">
        <v>2009</v>
      </c>
      <c r="F134" t="inlineStr">
        <is>
          <t>All</t>
        </is>
      </c>
      <c r="G134" t="n">
        <v>22</v>
      </c>
      <c r="H134" t="inlineStr"/>
      <c r="I134" t="inlineStr">
        <is>
          <t>ADHS 2009 Table 5.1.2</t>
        </is>
      </c>
      <c r="J134" t="inlineStr">
        <is>
          <t>dentate adults; 1978 omitted - survey categories differed</t>
        </is>
      </c>
      <c r="K134" t="inlineStr">
        <is>
          <t>ADHS 2009 published tables (NHS Digital / NatCen), ZIP: adhs-2009-tab3</t>
        </is>
      </c>
    </row>
    <row r="135">
      <c r="A135" t="inlineStr">
        <is>
          <t>hygiene</t>
        </is>
      </c>
      <c r="B135" t="inlineStr">
        <is>
          <t>tooth cleaning: Less than once a day</t>
        </is>
      </c>
      <c r="C135" t="inlineStr">
        <is>
          <t>percent</t>
        </is>
      </c>
      <c r="D135" t="inlineStr">
        <is>
          <t>England</t>
        </is>
      </c>
      <c r="E135" t="n">
        <v>1988</v>
      </c>
      <c r="F135" t="inlineStr">
        <is>
          <t>All</t>
        </is>
      </c>
      <c r="G135" t="n">
        <v>5</v>
      </c>
      <c r="H135" t="inlineStr"/>
      <c r="I135" t="inlineStr">
        <is>
          <t>ADHS 2009 Table 5.1.2</t>
        </is>
      </c>
      <c r="J135" t="inlineStr">
        <is>
          <t>dentate adults; 1978 omitted - survey categories differed</t>
        </is>
      </c>
      <c r="K135" t="inlineStr">
        <is>
          <t>ADHS 2009 published tables (NHS Digital / NatCen), ZIP: adhs-2009-tab3</t>
        </is>
      </c>
    </row>
    <row r="136">
      <c r="A136" t="inlineStr">
        <is>
          <t>hygiene</t>
        </is>
      </c>
      <c r="B136" t="inlineStr">
        <is>
          <t>tooth cleaning: Less than once a day</t>
        </is>
      </c>
      <c r="C136" t="inlineStr">
        <is>
          <t>percent</t>
        </is>
      </c>
      <c r="D136" t="inlineStr">
        <is>
          <t>England</t>
        </is>
      </c>
      <c r="E136" t="n">
        <v>1998</v>
      </c>
      <c r="F136" t="inlineStr">
        <is>
          <t>All</t>
        </is>
      </c>
      <c r="G136" t="n">
        <v>4</v>
      </c>
      <c r="H136" t="inlineStr"/>
      <c r="I136" t="inlineStr">
        <is>
          <t>ADHS 2009 Table 5.1.2</t>
        </is>
      </c>
      <c r="J136" t="inlineStr">
        <is>
          <t>dentate adults; 1978 omitted - survey categories differed</t>
        </is>
      </c>
      <c r="K136" t="inlineStr">
        <is>
          <t>ADHS 2009 published tables (NHS Digital / NatCen), ZIP: adhs-2009-tab3</t>
        </is>
      </c>
    </row>
    <row r="137">
      <c r="A137" t="inlineStr">
        <is>
          <t>hygiene</t>
        </is>
      </c>
      <c r="B137" t="inlineStr">
        <is>
          <t>tooth cleaning: Less than once a day</t>
        </is>
      </c>
      <c r="C137" t="inlineStr">
        <is>
          <t>percent</t>
        </is>
      </c>
      <c r="D137" t="inlineStr">
        <is>
          <t>England</t>
        </is>
      </c>
      <c r="E137" t="n">
        <v>2009</v>
      </c>
      <c r="F137" t="inlineStr">
        <is>
          <t>All</t>
        </is>
      </c>
      <c r="G137" t="n">
        <v>2</v>
      </c>
      <c r="H137" t="inlineStr"/>
      <c r="I137" t="inlineStr">
        <is>
          <t>ADHS 2009 Table 5.1.2</t>
        </is>
      </c>
      <c r="J137" t="inlineStr">
        <is>
          <t>dentate adults; 1978 omitted - survey categories differed</t>
        </is>
      </c>
      <c r="K137" t="inlineStr">
        <is>
          <t>ADHS 2009 published tables (NHS Digital / NatCen), ZIP: adhs-2009-tab3</t>
        </is>
      </c>
    </row>
    <row r="138">
      <c r="A138" t="inlineStr">
        <is>
          <t>hygiene</t>
        </is>
      </c>
      <c r="B138" t="inlineStr">
        <is>
          <t>tooth cleaning: Never</t>
        </is>
      </c>
      <c r="C138" t="inlineStr">
        <is>
          <t>percent</t>
        </is>
      </c>
      <c r="D138" t="inlineStr">
        <is>
          <t>England</t>
        </is>
      </c>
      <c r="E138" t="n">
        <v>1988</v>
      </c>
      <c r="F138" t="inlineStr">
        <is>
          <t>All</t>
        </is>
      </c>
      <c r="G138" t="n">
        <v>1</v>
      </c>
      <c r="H138" t="inlineStr"/>
      <c r="I138" t="inlineStr">
        <is>
          <t>ADHS 2009 Table 5.1.2</t>
        </is>
      </c>
      <c r="J138" t="inlineStr">
        <is>
          <t>dentate adults; 1978 omitted - survey categories differed</t>
        </is>
      </c>
      <c r="K138" t="inlineStr">
        <is>
          <t>ADHS 2009 published tables (NHS Digital / NatCen), ZIP: adhs-2009-tab3</t>
        </is>
      </c>
    </row>
    <row r="139">
      <c r="A139" t="inlineStr">
        <is>
          <t>hygiene</t>
        </is>
      </c>
      <c r="B139" t="inlineStr">
        <is>
          <t>tooth cleaning: Never</t>
        </is>
      </c>
      <c r="C139" t="inlineStr">
        <is>
          <t>percent</t>
        </is>
      </c>
      <c r="D139" t="inlineStr">
        <is>
          <t>England</t>
        </is>
      </c>
      <c r="E139" t="n">
        <v>1998</v>
      </c>
      <c r="F139" t="inlineStr">
        <is>
          <t>All</t>
        </is>
      </c>
      <c r="G139" t="n">
        <v>0</v>
      </c>
      <c r="H139" t="inlineStr"/>
      <c r="I139" t="inlineStr">
        <is>
          <t>ADHS 2009 Table 5.1.2</t>
        </is>
      </c>
      <c r="J139" t="inlineStr">
        <is>
          <t>dentate adults; 1978 omitted - survey categories differed</t>
        </is>
      </c>
      <c r="K139" t="inlineStr">
        <is>
          <t>ADHS 2009 published tables (NHS Digital / NatCen), ZIP: adhs-2009-tab3</t>
        </is>
      </c>
    </row>
    <row r="140">
      <c r="A140" t="inlineStr">
        <is>
          <t>hygiene</t>
        </is>
      </c>
      <c r="B140" t="inlineStr">
        <is>
          <t>tooth cleaning: Never</t>
        </is>
      </c>
      <c r="C140" t="inlineStr">
        <is>
          <t>percent</t>
        </is>
      </c>
      <c r="D140" t="inlineStr">
        <is>
          <t>England</t>
        </is>
      </c>
      <c r="E140" t="n">
        <v>2009</v>
      </c>
      <c r="F140" t="inlineStr">
        <is>
          <t>All</t>
        </is>
      </c>
      <c r="G140" t="n">
        <v>1</v>
      </c>
      <c r="H140" t="inlineStr"/>
      <c r="I140" t="inlineStr">
        <is>
          <t>ADHS 2009 Table 5.1.2</t>
        </is>
      </c>
      <c r="J140" t="inlineStr">
        <is>
          <t>dentate adults; 1978 omitted - survey categories differed</t>
        </is>
      </c>
      <c r="K140" t="inlineStr">
        <is>
          <t>ADHS 2009 published tables (NHS Digital / NatCen), ZIP: adhs-2009-tab3</t>
        </is>
      </c>
    </row>
    <row r="141">
      <c r="A141" t="inlineStr">
        <is>
          <t>treatment received</t>
        </is>
      </c>
      <c r="B141" t="inlineStr">
        <is>
          <t>Teeth scaled and polished</t>
        </is>
      </c>
      <c r="C141" t="inlineStr">
        <is>
          <t>percent</t>
        </is>
      </c>
      <c r="D141" t="inlineStr">
        <is>
          <t>England</t>
        </is>
      </c>
      <c r="E141" t="n">
        <v>1998</v>
      </c>
      <c r="F141" t="inlineStr">
        <is>
          <t>All</t>
        </is>
      </c>
      <c r="G141" t="n">
        <v>59</v>
      </c>
      <c r="H141" t="inlineStr"/>
      <c r="I141" t="inlineStr">
        <is>
          <t>ADHS 2009 Table 6.3.7</t>
        </is>
      </c>
      <c r="J141" t="inlineStr">
        <is>
          <t>dentate adults who attend; multiple answers allowed</t>
        </is>
      </c>
      <c r="K141" t="inlineStr">
        <is>
          <t>ADHS 2009 published tables (NHS Digital / NatCen), ZIP: adhs-2009-tab3</t>
        </is>
      </c>
    </row>
    <row r="142">
      <c r="A142" t="inlineStr">
        <is>
          <t>treatment received</t>
        </is>
      </c>
      <c r="B142" t="inlineStr">
        <is>
          <t>Teeth scaled and polished</t>
        </is>
      </c>
      <c r="C142" t="inlineStr">
        <is>
          <t>percent</t>
        </is>
      </c>
      <c r="D142" t="inlineStr">
        <is>
          <t>England</t>
        </is>
      </c>
      <c r="E142" t="n">
        <v>2009</v>
      </c>
      <c r="F142" t="inlineStr">
        <is>
          <t>All</t>
        </is>
      </c>
      <c r="G142" t="n">
        <v>50</v>
      </c>
      <c r="H142" t="inlineStr"/>
      <c r="I142" t="inlineStr">
        <is>
          <t>ADHS 2009 Table 6.3.7</t>
        </is>
      </c>
      <c r="J142" t="inlineStr">
        <is>
          <t>dentate adults who attend; multiple answers allowed</t>
        </is>
      </c>
      <c r="K142" t="inlineStr">
        <is>
          <t>ADHS 2009 published tables (NHS Digital / NatCen), ZIP: adhs-2009-tab3</t>
        </is>
      </c>
    </row>
    <row r="143">
      <c r="A143" t="inlineStr">
        <is>
          <t>treatment received</t>
        </is>
      </c>
      <c r="B143" t="inlineStr">
        <is>
          <t>Teeth filled</t>
        </is>
      </c>
      <c r="C143" t="inlineStr">
        <is>
          <t>percent</t>
        </is>
      </c>
      <c r="D143" t="inlineStr">
        <is>
          <t>England</t>
        </is>
      </c>
      <c r="E143" t="n">
        <v>1998</v>
      </c>
      <c r="F143" t="inlineStr">
        <is>
          <t>All</t>
        </is>
      </c>
      <c r="G143" t="n">
        <v>29</v>
      </c>
      <c r="H143" t="inlineStr"/>
      <c r="I143" t="inlineStr">
        <is>
          <t>ADHS 2009 Table 6.3.7</t>
        </is>
      </c>
      <c r="J143" t="inlineStr">
        <is>
          <t>dentate adults who attend; multiple answers allowed</t>
        </is>
      </c>
      <c r="K143" t="inlineStr">
        <is>
          <t>ADHS 2009 published tables (NHS Digital / NatCen), ZIP: adhs-2009-tab3</t>
        </is>
      </c>
    </row>
    <row r="144">
      <c r="A144" t="inlineStr">
        <is>
          <t>treatment received</t>
        </is>
      </c>
      <c r="B144" t="inlineStr">
        <is>
          <t>Teeth filled</t>
        </is>
      </c>
      <c r="C144" t="inlineStr">
        <is>
          <t>percent</t>
        </is>
      </c>
      <c r="D144" t="inlineStr">
        <is>
          <t>England</t>
        </is>
      </c>
      <c r="E144" t="n">
        <v>2009</v>
      </c>
      <c r="F144" t="inlineStr">
        <is>
          <t>All</t>
        </is>
      </c>
      <c r="G144" t="n">
        <v>28</v>
      </c>
      <c r="H144" t="inlineStr"/>
      <c r="I144" t="inlineStr">
        <is>
          <t>ADHS 2009 Table 6.3.7</t>
        </is>
      </c>
      <c r="J144" t="inlineStr">
        <is>
          <t>dentate adults who attend; multiple answers allowed</t>
        </is>
      </c>
      <c r="K144" t="inlineStr">
        <is>
          <t>ADHS 2009 published tables (NHS Digital / NatCen), ZIP: adhs-2009-tab3</t>
        </is>
      </c>
    </row>
    <row r="145">
      <c r="A145" t="inlineStr">
        <is>
          <t>treatment received</t>
        </is>
      </c>
      <c r="B145" t="inlineStr">
        <is>
          <t>X-ray</t>
        </is>
      </c>
      <c r="C145" t="inlineStr">
        <is>
          <t>percent</t>
        </is>
      </c>
      <c r="D145" t="inlineStr">
        <is>
          <t>England</t>
        </is>
      </c>
      <c r="E145" t="n">
        <v>1998</v>
      </c>
      <c r="F145" t="inlineStr">
        <is>
          <t>All</t>
        </is>
      </c>
      <c r="G145" t="n">
        <v>28</v>
      </c>
      <c r="H145" t="inlineStr"/>
      <c r="I145" t="inlineStr">
        <is>
          <t>ADHS 2009 Table 6.3.7</t>
        </is>
      </c>
      <c r="J145" t="inlineStr">
        <is>
          <t>dentate adults who attend; multiple answers allowed</t>
        </is>
      </c>
      <c r="K145" t="inlineStr">
        <is>
          <t>ADHS 2009 published tables (NHS Digital / NatCen), ZIP: adhs-2009-tab3</t>
        </is>
      </c>
    </row>
    <row r="146">
      <c r="A146" t="inlineStr">
        <is>
          <t>treatment received</t>
        </is>
      </c>
      <c r="B146" t="inlineStr">
        <is>
          <t>X-ray</t>
        </is>
      </c>
      <c r="C146" t="inlineStr">
        <is>
          <t>percent</t>
        </is>
      </c>
      <c r="D146" t="inlineStr">
        <is>
          <t>England</t>
        </is>
      </c>
      <c r="E146" t="n">
        <v>2009</v>
      </c>
      <c r="F146" t="inlineStr">
        <is>
          <t>All</t>
        </is>
      </c>
      <c r="G146" t="n">
        <v>34</v>
      </c>
      <c r="H146" t="inlineStr"/>
      <c r="I146" t="inlineStr">
        <is>
          <t>ADHS 2009 Table 6.3.7</t>
        </is>
      </c>
      <c r="J146" t="inlineStr">
        <is>
          <t>dentate adults who attend; multiple answers allowed</t>
        </is>
      </c>
      <c r="K146" t="inlineStr">
        <is>
          <t>ADHS 2009 published tables (NHS Digital / NatCen), ZIP: adhs-2009-tab3</t>
        </is>
      </c>
    </row>
    <row r="147">
      <c r="A147" t="inlineStr">
        <is>
          <t>treatment received</t>
        </is>
      </c>
      <c r="B147" t="inlineStr">
        <is>
          <t>Teeth extracted</t>
        </is>
      </c>
      <c r="C147" t="inlineStr">
        <is>
          <t>percent</t>
        </is>
      </c>
      <c r="D147" t="inlineStr">
        <is>
          <t>England</t>
        </is>
      </c>
      <c r="E147" t="n">
        <v>1998</v>
      </c>
      <c r="F147" t="inlineStr">
        <is>
          <t>All</t>
        </is>
      </c>
      <c r="G147" t="n">
        <v>13</v>
      </c>
      <c r="H147" t="inlineStr"/>
      <c r="I147" t="inlineStr">
        <is>
          <t>ADHS 2009 Table 6.3.7</t>
        </is>
      </c>
      <c r="J147" t="inlineStr">
        <is>
          <t>dentate adults who attend; multiple answers allowed</t>
        </is>
      </c>
      <c r="K147" t="inlineStr">
        <is>
          <t>ADHS 2009 published tables (NHS Digital / NatCen), ZIP: adhs-2009-tab3</t>
        </is>
      </c>
    </row>
    <row r="148">
      <c r="A148" t="inlineStr">
        <is>
          <t>treatment received</t>
        </is>
      </c>
      <c r="B148" t="inlineStr">
        <is>
          <t>Teeth extracted</t>
        </is>
      </c>
      <c r="C148" t="inlineStr">
        <is>
          <t>percent</t>
        </is>
      </c>
      <c r="D148" t="inlineStr">
        <is>
          <t>England</t>
        </is>
      </c>
      <c r="E148" t="n">
        <v>2009</v>
      </c>
      <c r="F148" t="inlineStr">
        <is>
          <t>All</t>
        </is>
      </c>
      <c r="G148" t="n">
        <v>14</v>
      </c>
      <c r="H148" t="inlineStr"/>
      <c r="I148" t="inlineStr">
        <is>
          <t>ADHS 2009 Table 6.3.7</t>
        </is>
      </c>
      <c r="J148" t="inlineStr">
        <is>
          <t>dentate adults who attend; multiple answers allowed</t>
        </is>
      </c>
      <c r="K148" t="inlineStr">
        <is>
          <t>ADHS 2009 published tables (NHS Digital / NatCen), ZIP: adhs-2009-tab3</t>
        </is>
      </c>
    </row>
    <row r="149">
      <c r="A149" t="inlineStr">
        <is>
          <t>treatment received</t>
        </is>
      </c>
      <c r="B149" t="inlineStr">
        <is>
          <t>Crown fitted</t>
        </is>
      </c>
      <c r="C149" t="inlineStr">
        <is>
          <t>percent</t>
        </is>
      </c>
      <c r="D149" t="inlineStr">
        <is>
          <t>England</t>
        </is>
      </c>
      <c r="E149" t="n">
        <v>1998</v>
      </c>
      <c r="F149" t="inlineStr">
        <is>
          <t>All</t>
        </is>
      </c>
      <c r="G149" t="n">
        <v>7</v>
      </c>
      <c r="H149" t="inlineStr"/>
      <c r="I149" t="inlineStr">
        <is>
          <t>ADHS 2009 Table 6.3.7</t>
        </is>
      </c>
      <c r="J149" t="inlineStr">
        <is>
          <t>dentate adults who attend; multiple answers allowed</t>
        </is>
      </c>
      <c r="K149" t="inlineStr">
        <is>
          <t>ADHS 2009 published tables (NHS Digital / NatCen), ZIP: adhs-2009-tab3</t>
        </is>
      </c>
    </row>
    <row r="150">
      <c r="A150" t="inlineStr">
        <is>
          <t>treatment received</t>
        </is>
      </c>
      <c r="B150" t="inlineStr">
        <is>
          <t>Crown fitted</t>
        </is>
      </c>
      <c r="C150" t="inlineStr">
        <is>
          <t>percent</t>
        </is>
      </c>
      <c r="D150" t="inlineStr">
        <is>
          <t>England</t>
        </is>
      </c>
      <c r="E150" t="n">
        <v>2009</v>
      </c>
      <c r="F150" t="inlineStr">
        <is>
          <t>All</t>
        </is>
      </c>
      <c r="G150" t="n">
        <v>7</v>
      </c>
      <c r="H150" t="inlineStr"/>
      <c r="I150" t="inlineStr">
        <is>
          <t>ADHS 2009 Table 6.3.7</t>
        </is>
      </c>
      <c r="J150" t="inlineStr">
        <is>
          <t>dentate adults who attend; multiple answers allowed</t>
        </is>
      </c>
      <c r="K150" t="inlineStr">
        <is>
          <t>ADHS 2009 published tables (NHS Digital / NatCen), ZIP: adhs-2009-tab3</t>
        </is>
      </c>
    </row>
    <row r="151">
      <c r="A151" t="inlineStr">
        <is>
          <t>treatment received</t>
        </is>
      </c>
      <c r="B151" t="inlineStr">
        <is>
          <t>Abscess treated</t>
        </is>
      </c>
      <c r="C151" t="inlineStr">
        <is>
          <t>percent</t>
        </is>
      </c>
      <c r="D151" t="inlineStr">
        <is>
          <t>England</t>
        </is>
      </c>
      <c r="E151" t="n">
        <v>1998</v>
      </c>
      <c r="F151" t="inlineStr">
        <is>
          <t>All</t>
        </is>
      </c>
      <c r="G151" t="n">
        <v>4</v>
      </c>
      <c r="H151" t="inlineStr"/>
      <c r="I151" t="inlineStr">
        <is>
          <t>ADHS 2009 Table 6.3.7</t>
        </is>
      </c>
      <c r="J151" t="inlineStr">
        <is>
          <t>dentate adults who attend; multiple answers allowed</t>
        </is>
      </c>
      <c r="K151" t="inlineStr">
        <is>
          <t>ADHS 2009 published tables (NHS Digital / NatCen), ZIP: adhs-2009-tab3</t>
        </is>
      </c>
    </row>
    <row r="152">
      <c r="A152" t="inlineStr">
        <is>
          <t>treatment received</t>
        </is>
      </c>
      <c r="B152" t="inlineStr">
        <is>
          <t>Abscess treated</t>
        </is>
      </c>
      <c r="C152" t="inlineStr">
        <is>
          <t>percent</t>
        </is>
      </c>
      <c r="D152" t="inlineStr">
        <is>
          <t>England</t>
        </is>
      </c>
      <c r="E152" t="n">
        <v>2009</v>
      </c>
      <c r="F152" t="inlineStr">
        <is>
          <t>All</t>
        </is>
      </c>
      <c r="G152" t="n">
        <v>6</v>
      </c>
      <c r="H152" t="inlineStr"/>
      <c r="I152" t="inlineStr">
        <is>
          <t>ADHS 2009 Table 6.3.7</t>
        </is>
      </c>
      <c r="J152" t="inlineStr">
        <is>
          <t>dentate adults who attend; multiple answers allowed</t>
        </is>
      </c>
      <c r="K152" t="inlineStr">
        <is>
          <t>ADHS 2009 published tables (NHS Digital / NatCen), ZIP: adhs-2009-tab3</t>
        </is>
      </c>
    </row>
    <row r="153">
      <c r="A153" t="inlineStr">
        <is>
          <t>treatment received</t>
        </is>
      </c>
      <c r="B153" t="inlineStr">
        <is>
          <t>Denture fitted</t>
        </is>
      </c>
      <c r="C153" t="inlineStr">
        <is>
          <t>percent</t>
        </is>
      </c>
      <c r="D153" t="inlineStr">
        <is>
          <t>England</t>
        </is>
      </c>
      <c r="E153" t="n">
        <v>1998</v>
      </c>
      <c r="F153" t="inlineStr">
        <is>
          <t>All</t>
        </is>
      </c>
      <c r="G153" t="n">
        <v>5</v>
      </c>
      <c r="H153" t="inlineStr"/>
      <c r="I153" t="inlineStr">
        <is>
          <t>ADHS 2009 Table 6.3.7</t>
        </is>
      </c>
      <c r="J153" t="inlineStr">
        <is>
          <t>dentate adults who attend; multiple answers allowed</t>
        </is>
      </c>
      <c r="K153" t="inlineStr">
        <is>
          <t>ADHS 2009 published tables (NHS Digital / NatCen), ZIP: adhs-2009-tab3</t>
        </is>
      </c>
    </row>
    <row r="154">
      <c r="A154" t="inlineStr">
        <is>
          <t>treatment received</t>
        </is>
      </c>
      <c r="B154" t="inlineStr">
        <is>
          <t>Denture fitted</t>
        </is>
      </c>
      <c r="C154" t="inlineStr">
        <is>
          <t>percent</t>
        </is>
      </c>
      <c r="D154" t="inlineStr">
        <is>
          <t>England</t>
        </is>
      </c>
      <c r="E154" t="n">
        <v>2009</v>
      </c>
      <c r="F154" t="inlineStr">
        <is>
          <t>All</t>
        </is>
      </c>
      <c r="G154" t="n">
        <v>4</v>
      </c>
      <c r="H154" t="inlineStr"/>
      <c r="I154" t="inlineStr">
        <is>
          <t>ADHS 2009 Table 6.3.7</t>
        </is>
      </c>
      <c r="J154" t="inlineStr">
        <is>
          <t>dentate adults who attend; multiple answers allowed</t>
        </is>
      </c>
      <c r="K154" t="inlineStr">
        <is>
          <t>ADHS 2009 published tables (NHS Digital / NatCen), ZIP: adhs-2009-tab3</t>
        </is>
      </c>
    </row>
    <row r="155">
      <c r="A155" t="inlineStr">
        <is>
          <t>treatment received</t>
        </is>
      </c>
      <c r="B155" t="inlineStr">
        <is>
          <t>Denture repaired</t>
        </is>
      </c>
      <c r="C155" t="inlineStr">
        <is>
          <t>percent</t>
        </is>
      </c>
      <c r="D155" t="inlineStr">
        <is>
          <t>England</t>
        </is>
      </c>
      <c r="E155" t="n">
        <v>1998</v>
      </c>
      <c r="F155" t="inlineStr">
        <is>
          <t>All</t>
        </is>
      </c>
      <c r="G155" t="n">
        <v>2</v>
      </c>
      <c r="H155" t="inlineStr"/>
      <c r="I155" t="inlineStr">
        <is>
          <t>ADHS 2009 Table 6.3.7</t>
        </is>
      </c>
      <c r="J155" t="inlineStr">
        <is>
          <t>dentate adults who attend; multiple answers allowed</t>
        </is>
      </c>
      <c r="K155" t="inlineStr">
        <is>
          <t>ADHS 2009 published tables (NHS Digital / NatCen), ZIP: adhs-2009-tab3</t>
        </is>
      </c>
    </row>
    <row r="156">
      <c r="A156" t="inlineStr">
        <is>
          <t>treatment received</t>
        </is>
      </c>
      <c r="B156" t="inlineStr">
        <is>
          <t>Denture repaired</t>
        </is>
      </c>
      <c r="C156" t="inlineStr">
        <is>
          <t>percent</t>
        </is>
      </c>
      <c r="D156" t="inlineStr">
        <is>
          <t>England</t>
        </is>
      </c>
      <c r="E156" t="n">
        <v>2009</v>
      </c>
      <c r="F156" t="inlineStr">
        <is>
          <t>All</t>
        </is>
      </c>
      <c r="G156" t="n">
        <v>1</v>
      </c>
      <c r="H156" t="inlineStr"/>
      <c r="I156" t="inlineStr">
        <is>
          <t>ADHS 2009 Table 6.3.7</t>
        </is>
      </c>
      <c r="J156" t="inlineStr">
        <is>
          <t>dentate adults who attend; multiple answers allowed</t>
        </is>
      </c>
      <c r="K156" t="inlineStr">
        <is>
          <t>ADHS 2009 published tables (NHS Digital / NatCen), ZIP: adhs-2009-tab3</t>
        </is>
      </c>
    </row>
    <row r="157">
      <c r="A157" t="inlineStr">
        <is>
          <t>prevalence 2009</t>
        </is>
      </c>
      <c r="B157" t="inlineStr">
        <is>
          <t>percentage with one or more fillings</t>
        </is>
      </c>
      <c r="C157" t="inlineStr">
        <is>
          <t>percent</t>
        </is>
      </c>
      <c r="D157" t="inlineStr">
        <is>
          <t>England, Wales and Northern Ireland</t>
        </is>
      </c>
      <c r="E157" t="n">
        <v>2009</v>
      </c>
      <c r="F157" t="inlineStr">
        <is>
          <t>All</t>
        </is>
      </c>
      <c r="G157" t="n">
        <v>84</v>
      </c>
      <c r="H157" t="inlineStr"/>
      <c r="I157" t="inlineStr">
        <is>
          <t>ADHS 2009 Table 4.1.1</t>
        </is>
      </c>
      <c r="J157" t="inlineStr">
        <is>
          <t>dentate adults unless stated; unweighted base 6410-11380</t>
        </is>
      </c>
      <c r="K157" t="inlineStr">
        <is>
          <t>ADHS 2009 published tables (NHS Digital / NatCen), ZIP: adhs-2009-tab3</t>
        </is>
      </c>
    </row>
    <row r="158">
      <c r="A158" t="inlineStr">
        <is>
          <t>prevalence 2009</t>
        </is>
      </c>
      <c r="B158" t="inlineStr">
        <is>
          <t>percentage with one or more restored teeth</t>
        </is>
      </c>
      <c r="C158" t="inlineStr">
        <is>
          <t>percent</t>
        </is>
      </c>
      <c r="D158" t="inlineStr">
        <is>
          <t>England, Wales and Northern Ireland</t>
        </is>
      </c>
      <c r="E158" t="n">
        <v>2009</v>
      </c>
      <c r="F158" t="inlineStr">
        <is>
          <t>All</t>
        </is>
      </c>
      <c r="G158" t="n">
        <v>85</v>
      </c>
      <c r="H158" t="inlineStr"/>
      <c r="I158" t="inlineStr">
        <is>
          <t>ADHS 2009 Table 4.2.1</t>
        </is>
      </c>
      <c r="J158" t="inlineStr">
        <is>
          <t>dentate adults unless stated; unweighted base 6410-11380</t>
        </is>
      </c>
      <c r="K158" t="inlineStr">
        <is>
          <t>ADHS 2009 published tables (NHS Digital / NatCen), ZIP: adhs-2009-tab3</t>
        </is>
      </c>
    </row>
    <row r="159">
      <c r="A159" t="inlineStr">
        <is>
          <t>prevalence 2009</t>
        </is>
      </c>
      <c r="B159" t="inlineStr">
        <is>
          <t>percentage with dentures (all adults)</t>
        </is>
      </c>
      <c r="C159" t="inlineStr">
        <is>
          <t>percent</t>
        </is>
      </c>
      <c r="D159" t="inlineStr">
        <is>
          <t>England, Wales and Northern Ireland</t>
        </is>
      </c>
      <c r="E159" t="n">
        <v>2009</v>
      </c>
      <c r="F159" t="inlineStr">
        <is>
          <t>All</t>
        </is>
      </c>
      <c r="G159" t="n">
        <v>19</v>
      </c>
      <c r="H159" t="inlineStr"/>
      <c r="I159" t="inlineStr">
        <is>
          <t>ADHS 2009 Table 4.4.1</t>
        </is>
      </c>
      <c r="J159" t="inlineStr">
        <is>
          <t>dentate adults unless stated; unweighted base 6410-11380</t>
        </is>
      </c>
      <c r="K159" t="inlineStr">
        <is>
          <t>ADHS 2009 published tables (NHS Digital / NatCen), ZIP: adhs-2009-tab3</t>
        </is>
      </c>
    </row>
    <row r="160">
      <c r="A160" t="inlineStr">
        <is>
          <t>prevalence 2009</t>
        </is>
      </c>
      <c r="B160" t="inlineStr">
        <is>
          <t>percentage with at least one dental bridge</t>
        </is>
      </c>
      <c r="C160" t="inlineStr">
        <is>
          <t>percent</t>
        </is>
      </c>
      <c r="D160" t="inlineStr">
        <is>
          <t>England, Wales and Northern Ireland</t>
        </is>
      </c>
      <c r="E160" t="n">
        <v>2009</v>
      </c>
      <c r="F160" t="inlineStr">
        <is>
          <t>All</t>
        </is>
      </c>
      <c r="G160" t="n">
        <v>7</v>
      </c>
      <c r="H160" t="inlineStr"/>
      <c r="I160" t="inlineStr">
        <is>
          <t>ADHS 2009 Table 4.4.3</t>
        </is>
      </c>
      <c r="J160" t="inlineStr">
        <is>
          <t>dentate adults unless stated; unweighted base 6410-11380</t>
        </is>
      </c>
      <c r="K160" t="inlineStr">
        <is>
          <t>ADHS 2009 published tables (NHS Digital / NatCen), ZIP: adhs-2009-tab3</t>
        </is>
      </c>
    </row>
    <row r="161">
      <c r="A161" t="inlineStr">
        <is>
          <t>prevalence 2009</t>
        </is>
      </c>
      <c r="B161" t="inlineStr">
        <is>
          <t>percentage with at least one implant</t>
        </is>
      </c>
      <c r="C161" t="inlineStr">
        <is>
          <t>percent</t>
        </is>
      </c>
      <c r="D161" t="inlineStr">
        <is>
          <t>England, Wales and Northern Ireland</t>
        </is>
      </c>
      <c r="E161" t="n">
        <v>2009</v>
      </c>
      <c r="F161" t="inlineStr">
        <is>
          <t>All</t>
        </is>
      </c>
      <c r="G161" t="n">
        <v>1</v>
      </c>
      <c r="H161" t="inlineStr"/>
      <c r="I161" t="inlineStr">
        <is>
          <t>ADHS 2009 Table 4.4.5</t>
        </is>
      </c>
      <c r="J161" t="inlineStr">
        <is>
          <t>dentate adults unless stated; unweighted base 6410-11380</t>
        </is>
      </c>
      <c r="K161" t="inlineStr">
        <is>
          <t>ADHS 2009 published tables (NHS Digital / NatCen), ZIP: adhs-2009-tab3</t>
        </is>
      </c>
    </row>
    <row r="162">
      <c r="A162" t="inlineStr">
        <is>
          <t>prevalence 2009</t>
        </is>
      </c>
      <c r="B162" t="inlineStr">
        <is>
          <t>percentage with calculus</t>
        </is>
      </c>
      <c r="C162" t="inlineStr">
        <is>
          <t>percent</t>
        </is>
      </c>
      <c r="D162" t="inlineStr">
        <is>
          <t>England, Wales and Northern Ireland</t>
        </is>
      </c>
      <c r="E162" t="n">
        <v>2009</v>
      </c>
      <c r="F162" t="inlineStr">
        <is>
          <t>All</t>
        </is>
      </c>
      <c r="G162" t="n">
        <v>68</v>
      </c>
      <c r="H162" t="inlineStr"/>
      <c r="I162" t="inlineStr">
        <is>
          <t>ADHS 2009 Table 5.2.11</t>
        </is>
      </c>
      <c r="J162" t="inlineStr">
        <is>
          <t>dentate adults unless stated; unweighted base 6410-11380</t>
        </is>
      </c>
      <c r="K162" t="inlineStr">
        <is>
          <t>ADHS 2009 published tables (NHS Digital / NatCen), ZIP: adhs-2009-tab3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gap</t>
        </is>
      </c>
      <c r="B1" t="inlineStr">
        <is>
          <t>status</t>
        </is>
      </c>
    </row>
    <row r="2">
      <c r="A2" t="inlineStr">
        <is>
          <t>A systematically screened post-medieval ENGLISH assemblage with a treatment count.</t>
        </is>
      </c>
      <c r="B2" t="inlineStr">
        <is>
          <t>London Museum access closed during the Smithfield move</t>
        </is>
      </c>
    </row>
    <row r="3">
      <c r="A3" t="inlineStr">
        <is>
          <t>Anything continental from the 17th-18th centuries.</t>
        </is>
      </c>
      <c r="B3" t="inlineStr">
        <is>
          <t>not found</t>
        </is>
      </c>
    </row>
    <row r="4">
      <c r="A4" t="inlineStr">
        <is>
          <t>ADHS 1968 column (these tables begin 1978; 1968 is in the BDJ 40-years-on paper).</t>
        </is>
      </c>
      <c r="B4" t="inlineStr">
        <is>
          <t>needs NHS Digital or UK Data Service 6884</t>
        </is>
      </c>
    </row>
    <row r="5">
      <c r="A5" t="inlineStr">
        <is>
          <t>Becker MJ (2014) Int J Anthropol 29:209-226 - primary report on the 86 teeth from the Temple of Castor and Pollux drain. Currently a secondary-source row.</t>
        </is>
      </c>
      <c r="B5" t="inlineStr">
        <is>
          <t>PDF not held</t>
        </is>
      </c>
    </row>
    <row r="6">
      <c r="A6" t="inlineStr">
        <is>
          <t>Bennike &amp; Alexandersen (2003) - primary report on the Hulbjerg drilling.</t>
        </is>
      </c>
      <c r="B6" t="inlineStr">
        <is>
          <t>PDF not held</t>
        </is>
      </c>
    </row>
    <row r="7">
      <c r="A7" t="inlineStr">
        <is>
          <t>Coppa et al. (2006) - primary report on the Mehrgarh drilled teeth.</t>
        </is>
      </c>
      <c r="B7" t="inlineStr">
        <is>
          <t>PDF not held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2026-09-27T13:23:27Z</dcterms:created>
  <dcterms:modified xmlns:dcterms="http://purl.org/dc/terms/" xmlns:xsi="http://www.w3.org/2001/XMLSchema-instance" xsi:type="dcterms:W3CDTF">2026-09-27T13:23:27Z</dcterms:modified>
</cp:coreProperties>
</file>